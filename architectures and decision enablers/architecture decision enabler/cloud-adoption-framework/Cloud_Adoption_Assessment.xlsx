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defaultThemeVersion="166925"/>
  <mc:AlternateContent xmlns:mc="http://schemas.openxmlformats.org/markup-compatibility/2006">
    <mc:Choice Requires="x15">
      <x15ac:absPath xmlns:x15ac="http://schemas.microsoft.com/office/spreadsheetml/2010/11/ac" url="C:\Amit\eBooks\Interview Quick Rampup\Fractional Architect Consulting &amp; Freelancing\UPWORK &amp; TOPMATE FILES AND PRODUCTS\CLOUD_ADOPTION_ASSESSMENT\"/>
    </mc:Choice>
  </mc:AlternateContent>
  <xr:revisionPtr revIDLastSave="0" documentId="13_ncr:1_{75A64333-2077-44C4-AF52-3ACD03EA93E9}" xr6:coauthVersionLast="47" xr6:coauthVersionMax="47" xr10:uidLastSave="{00000000-0000-0000-0000-000000000000}"/>
  <bookViews>
    <workbookView xWindow="-108" yWindow="-108" windowWidth="23256" windowHeight="12456" activeTab="1" xr2:uid="{6EA83798-0DD6-40E8-BDD9-53B4FEBFB21D}"/>
  </bookViews>
  <sheets>
    <sheet name="Inputs" sheetId="1" r:id="rId1"/>
    <sheet name="Dashboards" sheetId="2" r:id="rId2"/>
    <sheet name="Description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8" i="1" l="1" a="1"/>
  <c r="E45" i="1" a="1"/>
  <c r="E46" i="1" a="1"/>
  <c r="E47" i="1" a="1"/>
  <c r="E44" i="1" a="1"/>
  <c r="E43" i="1" a="1"/>
  <c r="E42" i="1" a="1"/>
  <c r="E41" i="1" a="1"/>
  <c r="E40" i="1" a="1"/>
  <c r="E39" i="1" a="1"/>
  <c r="E38" i="1" a="1"/>
  <c r="E37" i="1" a="1"/>
  <c r="E36" i="1" a="1"/>
  <c r="E35" i="1" a="1"/>
  <c r="E34" i="1" a="1"/>
  <c r="E33" i="1" a="1"/>
  <c r="F33" i="1" s="1" a="1"/>
  <c r="E32" i="1" a="1"/>
  <c r="F32" i="1" a="1"/>
  <c r="E31" i="1" a="1"/>
  <c r="E30" i="1" a="1"/>
  <c r="F30" i="1" a="1"/>
  <c r="E29" i="1" a="1"/>
  <c r="E28" i="1" a="1"/>
  <c r="E27" i="1" a="1"/>
  <c r="E26" i="1" a="1"/>
  <c r="E25" i="1" a="1"/>
  <c r="E24" i="1" a="1"/>
  <c r="E23" i="1" a="1"/>
  <c r="E22" i="1" a="1"/>
  <c r="E21" i="1" a="1"/>
  <c r="E20" i="1" a="1"/>
  <c r="E19" i="1" a="1"/>
  <c r="E18" i="1" a="1"/>
  <c r="E17" i="1" a="1"/>
  <c r="E10" i="1" a="1"/>
  <c r="E11" i="1" a="1"/>
  <c r="E12" i="1" a="1"/>
  <c r="E13" i="1" a="1"/>
  <c r="E14" i="1" a="1"/>
  <c r="E15" i="1" a="1"/>
  <c r="E16" i="1" a="1"/>
  <c r="E3" i="1" a="1"/>
  <c r="E4" i="1" a="1"/>
  <c r="E5" i="1" a="1"/>
  <c r="E6" i="1" a="1"/>
  <c r="E7" i="1" a="1"/>
  <c r="E8" i="1" a="1"/>
  <c r="E9" i="1" a="1"/>
  <c r="E2" i="1" a="1"/>
  <c r="F34" i="1" l="1" a="1"/>
  <c r="B5" i="2"/>
  <c r="F22" i="1" a="1"/>
  <c r="F21" i="1" a="1"/>
  <c r="F45" i="1" a="1"/>
  <c r="F42" i="1" a="1"/>
  <c r="F36" i="1" a="1"/>
  <c r="F19" i="1" a="1"/>
  <c r="F38" i="1" a="1"/>
  <c r="F43" i="1" a="1"/>
  <c r="F46" i="1" a="1"/>
  <c r="B4" i="2"/>
  <c r="F23" i="1" a="1"/>
  <c r="C9" i="2" a="1"/>
  <c r="F31" i="1" a="1"/>
  <c r="F48" i="1" a="1"/>
  <c r="B7" i="2"/>
  <c r="F47" i="1" a="1"/>
  <c r="F44" i="1" a="1"/>
  <c r="B2" i="2"/>
  <c r="F37" i="1" a="1"/>
  <c r="F29" i="1" a="1"/>
  <c r="B3" i="2"/>
  <c r="F35" i="1" a="1"/>
  <c r="F39" i="1" a="1"/>
  <c r="F41" i="1" a="1"/>
  <c r="B6" i="2"/>
  <c r="F40" i="1" a="1"/>
  <c r="F28" i="1" a="1"/>
  <c r="F27" i="1" a="1"/>
  <c r="F26" i="1" a="1"/>
  <c r="F25" i="1" a="1"/>
  <c r="F24" i="1" a="1"/>
  <c r="F20" i="1" a="1"/>
  <c r="F18" i="1" a="1"/>
  <c r="F3" i="1" a="1"/>
  <c r="F4" i="1" a="1"/>
  <c r="F5" i="1" a="1"/>
  <c r="F6" i="1" a="1"/>
  <c r="F8" i="1" a="1"/>
  <c r="F10" i="1" a="1"/>
  <c r="F7" i="1" a="1"/>
  <c r="F9" i="1" a="1"/>
  <c r="F11" i="1" a="1"/>
  <c r="F12" i="1" a="1"/>
  <c r="F16" i="1" a="1"/>
  <c r="F15" i="1" a="1"/>
  <c r="F17" i="1" a="1"/>
  <c r="F2" i="1" a="1"/>
  <c r="F14" i="1" a="1"/>
  <c r="F13"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<sst xmlns="http://schemas.openxmlformats.org/spreadsheetml/2006/main" count="227" uniqueCount="132">
  <si>
    <t>Perspective</t>
  </si>
  <si>
    <t>Question</t>
  </si>
  <si>
    <t xml:space="preserve">User Response </t>
  </si>
  <si>
    <t>Numeric Score</t>
  </si>
  <si>
    <t>CAF Domain Perspective</t>
  </si>
  <si>
    <t>Average Score</t>
  </si>
  <si>
    <r>
      <rPr>
        <b/>
        <i/>
        <u/>
        <sz val="10"/>
        <color theme="1"/>
        <rFont val="Calibri"/>
        <family val="2"/>
        <scheme val="minor"/>
      </rPr>
      <t>How actively does your organization foster a culture of experimentation, psychological safety, and continuous learning?</t>
    </r>
    <r>
      <rPr>
        <i/>
        <sz val="10"/>
        <color theme="1"/>
        <rFont val="Calibri"/>
        <family val="2"/>
        <scheme val="minor"/>
      </rPr>
      <t xml:space="preserve">
A) Risk-Averse &amp; Siloed: Blame is placed when deployments go wrong; teams work in tight silos, rigidly follow legacy checklists, and actively resist new ways of working.
B) Localized Agility: A few application development teams embrace cloud culture, but the broader enterprise remains deeply bureaucratic and resistant to change.
C) Psychological Safety: Failure is explicitly decoupled from blame; blameless post-mortems are standard practice, and experimentation is actively rewarded across teams.
D) Continuous Learning Org: Experimentation is woven into the organizational DNA; teams share failure lessons across business boundaries, and self-disruption is seen as a core strength.</t>
    </r>
  </si>
  <si>
    <r>
      <rPr>
        <b/>
        <i/>
        <u/>
        <sz val="10"/>
        <color theme="1"/>
        <rFont val="Calibri"/>
        <family val="2"/>
        <scheme val="minor"/>
      </rPr>
      <t>Do you consistently measure the post-migration business value against your original business case ?</t>
    </r>
    <r>
      <rPr>
        <i/>
        <sz val="10"/>
        <color theme="1"/>
        <rFont val="Calibri"/>
        <family val="2"/>
        <scheme val="minor"/>
      </rPr>
      <t xml:space="preserve">
A) Unmeasured: Once a cloud project or migration is completed, we do not track whether it achieved its original financial or operational business objectives.
B) Anecdotal Evidence: We track high-level IT changes (e.g., hardware decommissioning), but we lack empirical metrics proving that the cloud improved business speed or revenue.
C) Closed-Loop Tracking: We systematically audit post-migration applications against baseline financial and performance metrics established in the initial business case.
D) Automated Value Dashboards: Business value parameters (e.g., engineering velocity gains, infrastructure savings, uptime value) are aggregated into executive dashboards to guide capital allocation.</t>
    </r>
  </si>
  <si>
    <r>
      <rPr>
        <b/>
        <i/>
        <u/>
        <sz val="10"/>
        <color theme="1"/>
        <rFont val="Calibri"/>
        <family val="2"/>
        <scheme val="minor"/>
      </rPr>
      <t>Does your organization actively leverage cloud analytics to generate new revenue streams or business models ?</t>
    </r>
    <r>
      <rPr>
        <i/>
        <sz val="10"/>
        <color theme="1"/>
        <rFont val="Calibri"/>
        <family val="2"/>
        <scheme val="minor"/>
      </rPr>
      <t xml:space="preserve">
A) Untapped: Data is locked away in operational silos or legacy systems; it is rarely organized well enough to support basic decision-making, let alone generate business value.
B) Descriptive Reporting: We use basic cloud data warehouses to generate internal retroactive reports and static dashboards for business leaders.
C) Data Products: We actively clean, aggregate, and package cloud data to optimize operations, predict customer behavior, or deliver commercial data services to external clients.
D) AI-Driven Ecosystem: Advanced machine learning models and automated data pipelines dynamically alter pricing, product recommendations, or market strategies in real time to generate automated revenue.</t>
    </r>
  </si>
  <si>
    <r>
      <rPr>
        <b/>
        <i/>
        <u/>
        <sz val="10"/>
        <color theme="1"/>
        <rFont val="Calibri"/>
        <family val="2"/>
        <scheme val="minor"/>
      </rPr>
      <t>How well-integrated are your cloud vendors and system integrators into your long-term business strategy ?</t>
    </r>
    <r>
      <rPr>
        <i/>
        <sz val="10"/>
        <color theme="1"/>
        <rFont val="Calibri"/>
        <family val="2"/>
        <scheme val="minor"/>
      </rPr>
      <t xml:space="preserve">
A) Transactional: Vendors and Cloud Service Providers (CSPs) are treated strictly as utility providers; communication is limited to resolving service outages or billing disputes.
B) Preferred Suppliers: We have preferred cloud partners, but engagements are scoped entirely on an ad-hoc project basis without long-term shared incentives.
C) Collaborative Ecosystem: We maintain strategic multi-year relationships with CSPs and global system integrators to secure co-investment funds, training credits, and deep technical support.
D) Joint Innovation: We co-develop intellectual property or launch joint go-to-market initiatives with our cloud partners, integrating our business roadmaps with their feature release plans.</t>
    </r>
  </si>
  <si>
    <r>
      <rPr>
        <b/>
        <i/>
        <u/>
        <sz val="10"/>
        <color theme="1"/>
        <rFont val="Calibri"/>
        <family val="2"/>
        <scheme val="minor"/>
      </rPr>
      <t>Do you have formal mechanisms to use cloud services to rapidly build, test, and launch new products ?</t>
    </r>
    <r>
      <rPr>
        <sz val="10"/>
        <color theme="1"/>
        <rFont val="Calibri"/>
        <family val="2"/>
        <scheme val="minor"/>
      </rPr>
      <t xml:space="preserve">
</t>
    </r>
    <r>
      <rPr>
        <i/>
        <sz val="10"/>
        <color theme="1"/>
        <rFont val="Calibri"/>
        <family val="2"/>
        <scheme val="minor"/>
      </rPr>
      <t>A) Inhibited: Strict procurement timelines, legacy infrastructure setups, and a fear of failure make testing new ideas or prototyping new products incredibly slow and expensive.
B) Ad-Hoc Sandboxes: Developers occasionally use basic cloud accounts to build isolated proofs of concept, but moving successful ideas to production takes months of manual approvals.
C) Structured Pipeline: We leverage cloud-native features (serverless, low-code, marketplace tools) within isolated sandboxes to rapidly prototype, validate, and move ideas to production in weeks.
D) Continuous Disruption: Innovation is fully operationalized; automated product-testing frameworks allow teams to safely run live A/B tests and pivot or kill features instantly based on real-time customer data.</t>
    </r>
  </si>
  <si>
    <r>
      <rPr>
        <b/>
        <i/>
        <u/>
        <sz val="10"/>
        <color theme="1"/>
        <rFont val="Calibri"/>
        <family val="2"/>
        <scheme val="minor"/>
      </rPr>
      <t>How well are your applications categorized and prioritized for migration or modernization based on business value ?</t>
    </r>
    <r>
      <rPr>
        <i/>
        <sz val="10"/>
        <color theme="1"/>
        <rFont val="Calibri"/>
        <family val="2"/>
        <scheme val="minor"/>
      </rPr>
      <t xml:space="preserve">
A) Fragmented Inventory: We lack a centralized inventory of business applications; cloud migration candidates are chosen based on urgency or arbitrary team preferences.
B) Basic Classification: We maintain a basic application registry, but candidates are evaluated purely by technical fit rather than business criticality or financial return.
C) Structured Modernization: Applications are categorized using a formal "6 Rs" framework (Rehost, Replatform, Refactor, etc.), balancing technical complexity against commercial urgency.
D) Dynamic Lifecycle: Application portfolios are continuously managed via an automated governance pipeline that tracks business value, cost, and health to deprecate or modernize software dynamically.</t>
    </r>
  </si>
  <si>
    <r>
      <rPr>
        <b/>
        <i/>
        <u/>
        <sz val="10"/>
        <color theme="1"/>
        <rFont val="Calibri"/>
        <family val="2"/>
        <scheme val="minor"/>
      </rPr>
      <t>Is your cloud roadmap explicitly mapped to your company's long-term commercial goals?</t>
    </r>
    <r>
      <rPr>
        <i/>
        <sz val="10"/>
        <color theme="1"/>
        <rFont val="Calibri"/>
        <family val="2"/>
        <scheme val="minor"/>
      </rPr>
      <t xml:space="preserve">
A) No Alignment: Cloud decisions are made purely by IT to solve immediate infrastructure capacity issues, with zero alignment to corporate business strategies.
B) Reactive Scaling: Our cloud initiatives generally support ongoing business projects, but we lack a unified roadmap connecting cloud investments directly to long-term commercial goals.
C) Strategic Roadmap: We maintain a formal cloud strategy roadmap that explicitly details how cloud technologies will enable specific business targets over the next 18–36 months.
D) Business Driver: The cloud strategy is identical to our corporate strategy; all business transformations, market entries, and expansions are designed with cloud capabilities as the foundation.</t>
    </r>
  </si>
  <si>
    <r>
      <rPr>
        <b/>
        <i/>
        <u/>
        <sz val="10"/>
        <color theme="1"/>
        <rFont val="Calibri"/>
        <family val="2"/>
        <scheme val="minor"/>
      </rPr>
      <t xml:space="preserve">How effectively does your organization build and validate financial and strategic business cases for cloud initiatives ? </t>
    </r>
    <r>
      <rPr>
        <i/>
        <sz val="10"/>
        <color theme="1"/>
        <rFont val="Calibri"/>
        <family val="2"/>
        <scheme val="minor"/>
      </rPr>
      <t xml:space="preserve">
A) Ad-Hoc: We do not build formal business cases for the cloud; migrations are treated as mandatory IT upkeep or approved on a project-by-project basis without clear financial forecasting.
B) Basic TCO: We build simple Total Cost of Ownership (TCO) assessments that compare basic on-premises hardware costs to estimated cloud infrastructure spend.
C) Business-Aligned: We create comprehensive business cases that include both TCO and quantified business value metrics, such as accelerated time-to-market, improved developer productivity, and risk reduction.
D) Continuously Optimized: Our business cases are dynamic, living documents; we continuously feed post-migration reality data back into our financial models to refine future cloud investment strategies.</t>
    </r>
  </si>
  <si>
    <r>
      <rPr>
        <b/>
        <i/>
        <u/>
        <sz val="10"/>
        <color theme="1"/>
        <rFont val="Calibri"/>
        <family val="2"/>
        <scheme val="minor"/>
      </rPr>
      <t>Do you have a functional, cross-functional Cloud Center of Excellence (CCoE) leading your adoption?</t>
    </r>
    <r>
      <rPr>
        <i/>
        <sz val="10"/>
        <color theme="1"/>
        <rFont val="Calibri"/>
        <family val="2"/>
        <scheme val="minor"/>
      </rPr>
      <t xml:space="preserve">
A) Isolated Silos: Our traditional IT infrastructure, networking, and application teams operate independently, passing tickets back and forth to deploy cloud resources.
B) Virtual Cloud Team: We have a loose, informal group of cloud enthusiasts from different teams who meet occasionally to discuss standards, but they have no formal mandate or authority.
C) Dedicated CCoE: We have a fully staffed, cross-functional Cloud Center of Excellence (CCoE) that actively publishes landing zone patterns, sets guardrails, and accelerates onboarding across the enterprise.
D) Decentralized &amp; Federated: The CCoE acts purely as a platform governance body; individual business units are completely autonomous and self-sufficient in deploying their own cloud resources safely.</t>
    </r>
  </si>
  <si>
    <r>
      <rPr>
        <b/>
        <i/>
        <u/>
        <sz val="10"/>
        <color theme="1"/>
        <rFont val="Calibri"/>
        <family val="2"/>
        <scheme val="minor"/>
      </rPr>
      <t>Are your executive sponsors actively trained and visibly leading the cloud transformation journey?</t>
    </r>
    <r>
      <rPr>
        <i/>
        <sz val="10"/>
        <color theme="1"/>
        <rFont val="Calibri"/>
        <family val="2"/>
        <scheme val="minor"/>
      </rPr>
      <t xml:space="preserve">
A) Disengaged: Senior executives view the cloud purely as a technical IT infrastructure replacement and provide no active sponsorship or guidance for operational changes.
B) Passive Approval: Executives support cloud adoption conceptually and fund the projects, but they lack a deep understanding of the organizational shifts required to succeed.
C) Active Advocates: Executive leaders are trained in cloud business fundamentals, visible in steering committee meetings, and actively break down political silos across the business.
D) Transformational Visionaries: Leadership champions cloud adoption as a core business differentiator, aligning executive compensation and organizational KPIs to modern digital metrics.</t>
    </r>
  </si>
  <si>
    <t>Business Perspective:</t>
  </si>
  <si>
    <t>Human Perspective:</t>
  </si>
  <si>
    <t>Capability Immediate Action</t>
  </si>
  <si>
    <t>Description</t>
  </si>
  <si>
    <r>
      <rPr>
        <b/>
        <sz val="10"/>
        <color theme="1"/>
        <rFont val="Aptos"/>
        <family val="2"/>
      </rPr>
      <t xml:space="preserve">(Business case  development) </t>
    </r>
    <r>
      <rPr>
        <sz val="10"/>
        <color theme="1"/>
        <rFont val="Aptos"/>
        <family val="2"/>
      </rPr>
      <t xml:space="preserve">
Evaluates the alignment of cloud investments with your broader business strategy and digital transformation goals</t>
    </r>
  </si>
  <si>
    <r>
      <t xml:space="preserve">(Strategy Management) 
</t>
    </r>
    <r>
      <rPr>
        <sz val="10"/>
        <color theme="1"/>
        <rFont val="Aptos"/>
        <family val="2"/>
      </rPr>
      <t>Evaluates the alignment of cloud investments with your broader business strategy and digital transformation goals</t>
    </r>
  </si>
  <si>
    <r>
      <rPr>
        <b/>
        <sz val="10"/>
        <color theme="1"/>
        <rFont val="Aptos"/>
        <family val="2"/>
      </rPr>
      <t xml:space="preserve">(Portfolio Management) </t>
    </r>
    <r>
      <rPr>
        <sz val="10"/>
        <color theme="1"/>
        <rFont val="Aptos"/>
        <family val="2"/>
      </rPr>
      <t xml:space="preserve">
Evaluates the alignment of cloud investments with your broader business strategy and digital transformation goals</t>
    </r>
  </si>
  <si>
    <r>
      <rPr>
        <b/>
        <sz val="10"/>
        <color theme="1"/>
        <rFont val="Aptos"/>
        <family val="2"/>
      </rPr>
      <t xml:space="preserve">(Innovation Management) 
</t>
    </r>
    <r>
      <rPr>
        <sz val="10"/>
        <color theme="1"/>
        <rFont val="Aptos"/>
        <family val="2"/>
      </rPr>
      <t>Evaluates the alignment of cloud investments with your broader business strategy and digital transformation goals</t>
    </r>
  </si>
  <si>
    <r>
      <rPr>
        <b/>
        <sz val="10"/>
        <color theme="1"/>
        <rFont val="Aptos"/>
        <family val="2"/>
      </rPr>
      <t xml:space="preserve">(Product Management) 
</t>
    </r>
    <r>
      <rPr>
        <sz val="10"/>
        <color theme="1"/>
        <rFont val="Aptos"/>
        <family val="2"/>
      </rPr>
      <t>Evaluates the alignment of cloud investments with your broader business strategy and digital transformation goals</t>
    </r>
  </si>
  <si>
    <r>
      <rPr>
        <b/>
        <i/>
        <u/>
        <sz val="10"/>
        <color theme="1"/>
        <rFont val="Calibri"/>
        <family val="2"/>
        <scheme val="minor"/>
      </rPr>
      <t>Are your IT services managed as value-driven business products rather than cost-center projects ?</t>
    </r>
    <r>
      <rPr>
        <i/>
        <sz val="10"/>
        <color theme="1"/>
        <rFont val="Calibri"/>
        <family val="2"/>
        <scheme val="minor"/>
      </rPr>
      <t xml:space="preserve">
A) Project-Centric: IT operates strictly under a temporary "project" model with fixed budgets and end dates; teams hand off applications to a separate support group and disperse.
D) Hybrid Delivery: Some modern apps use cross-functional teams, but funding models and performance metrics are still anchored to traditional, fixed-scope IT project delivery.
C) Product-Driven: Applications are managed as continuous business products with dedicated funding, persistent cross-functional teams, and success measured by long-term user adoption and business value.
D) Platform-as-a-Product: Internal infrastructure, data, and security systems are treated as self-service digital products, complete with internal SLAs and continuous feedback loops.</t>
    </r>
  </si>
  <si>
    <r>
      <rPr>
        <b/>
        <sz val="10"/>
        <color theme="1"/>
        <rFont val="Aptos"/>
        <family val="2"/>
      </rPr>
      <t xml:space="preserve">Strategic PartnerShip) </t>
    </r>
    <r>
      <rPr>
        <sz val="10"/>
        <color theme="1"/>
        <rFont val="Aptos"/>
        <family val="2"/>
      </rPr>
      <t xml:space="preserve"> 
Evaluates the alignment of cloud investments with your broader business strategy and digital transformation goals</t>
    </r>
  </si>
  <si>
    <r>
      <rPr>
        <b/>
        <sz val="10"/>
        <color theme="1"/>
        <rFont val="Aptos"/>
        <family val="2"/>
      </rPr>
      <t xml:space="preserve">(Data  Monetization)  </t>
    </r>
    <r>
      <rPr>
        <sz val="10"/>
        <color theme="1"/>
        <rFont val="Aptos"/>
        <family val="2"/>
      </rPr>
      <t xml:space="preserve">
Evaluates the alignment of cloud investments with your broader business strategy and digital transformation goals</t>
    </r>
  </si>
  <si>
    <r>
      <rPr>
        <b/>
        <sz val="10"/>
        <color theme="1"/>
        <rFont val="Aptos"/>
        <family val="2"/>
      </rPr>
      <t xml:space="preserve">(Benefits Realization)  </t>
    </r>
    <r>
      <rPr>
        <sz val="10"/>
        <color theme="1"/>
        <rFont val="Aptos"/>
        <family val="2"/>
      </rPr>
      <t xml:space="preserve">
Evaluates the alignment of cloud investments with your broader business strategy and digital transformation goals</t>
    </r>
  </si>
  <si>
    <r>
      <rPr>
        <b/>
        <sz val="10"/>
        <color theme="1"/>
        <rFont val="Aptos"/>
        <family val="2"/>
      </rPr>
      <t xml:space="preserve">(Culture Evolution)  </t>
    </r>
    <r>
      <rPr>
        <sz val="10"/>
        <color theme="1"/>
        <rFont val="Aptos"/>
        <family val="2"/>
      </rPr>
      <t xml:space="preserve">
Focuses on organizational evolution, culture, change management, and building a cloud-ready workforce</t>
    </r>
  </si>
  <si>
    <r>
      <rPr>
        <b/>
        <sz val="10"/>
        <color theme="1"/>
        <rFont val="Aptos"/>
        <family val="2"/>
      </rPr>
      <t xml:space="preserve">(Organizational Structure)  </t>
    </r>
    <r>
      <rPr>
        <sz val="10"/>
        <color theme="1"/>
        <rFont val="Aptos"/>
        <family val="2"/>
      </rPr>
      <t xml:space="preserve">
Focuses on organizational evolution, culture, change management, and building a cloud-ready workforce</t>
    </r>
  </si>
  <si>
    <r>
      <rPr>
        <b/>
        <sz val="10"/>
        <color theme="1"/>
        <rFont val="Aptos"/>
        <family val="2"/>
      </rPr>
      <t xml:space="preserve">(Leadership Capability)  </t>
    </r>
    <r>
      <rPr>
        <sz val="10"/>
        <color theme="1"/>
        <rFont val="Aptos"/>
        <family val="2"/>
      </rPr>
      <t xml:space="preserve">
Focuses on organizational evolution, culture, change management, and building a cloud-ready workforce</t>
    </r>
  </si>
  <si>
    <r>
      <rPr>
        <b/>
        <sz val="10"/>
        <color theme="1"/>
        <rFont val="Aptos"/>
        <family val="2"/>
      </rPr>
      <t xml:space="preserve">(Workforce Transformation)  </t>
    </r>
    <r>
      <rPr>
        <sz val="10"/>
        <color theme="1"/>
        <rFont val="Aptos"/>
        <family val="2"/>
      </rPr>
      <t xml:space="preserve">
Focuses on organizational evolution, culture, change management, and building a cloud-ready workforce</t>
    </r>
  </si>
  <si>
    <r>
      <rPr>
        <b/>
        <i/>
        <u/>
        <sz val="10"/>
        <color theme="1"/>
        <rFont val="Calibri"/>
        <family val="2"/>
        <scheme val="minor"/>
      </rPr>
      <t>Is there a structured plan to transition legacy IT staff into modern cloud-native roles?</t>
    </r>
    <r>
      <rPr>
        <i/>
        <sz val="10"/>
        <color theme="1"/>
        <rFont val="Calibri"/>
        <family val="2"/>
        <scheme val="minor"/>
      </rPr>
      <t xml:space="preserve">
A) No Transition Plan: Legacy IT workers (sysadmins, database administrators) are expected to absorb cloud roles naturally without formal training plans or job description updates.
B) Ad-Hoc Upskilling: We offer occasional classroom training or provide access to online courses, but workers are left to find time for learning around their daily legacy tasks.
C) Structured Career Pathways: We maintain explicit, funded career development pathways mapping legacy roles directly to modern cloud roles (e.g., SysAdmin to DevOps Engineer).
D) Self-Sustaining Talent Guilds: Continuous skill evolution is fully integrated into HR systems; internal technical guilds mentor peers, and workforce rotation guarantees persistent upskilling.</t>
    </r>
  </si>
  <si>
    <r>
      <rPr>
        <b/>
        <sz val="10"/>
        <color theme="1"/>
        <rFont val="Aptos"/>
        <family val="2"/>
      </rPr>
      <t xml:space="preserve">(Change Acceleration)  </t>
    </r>
    <r>
      <rPr>
        <sz val="10"/>
        <color theme="1"/>
        <rFont val="Aptos"/>
        <family val="2"/>
      </rPr>
      <t xml:space="preserve">
Focuses on organizational evolution, culture, change management, and building a cloud-ready workforce</t>
    </r>
  </si>
  <si>
    <r>
      <rPr>
        <b/>
        <i/>
        <u/>
        <sz val="10"/>
        <color theme="1"/>
        <rFont val="Calibri"/>
        <family val="2"/>
        <scheme val="minor"/>
      </rPr>
      <t>How effectively do you apply formal organizational change management frameworks to overcome cloud adoption resistance?</t>
    </r>
    <r>
      <rPr>
        <i/>
        <sz val="10"/>
        <color theme="1"/>
        <rFont val="Calibri"/>
        <family val="2"/>
        <scheme val="minor"/>
      </rPr>
      <t xml:space="preserve">
A) Ignored: Technical cloud changes are forced onto teams without communication, resulting in massive operational friction, hidden workarounds, and user resistance.
B) Tactical Communications: We send basic corporate emails announcing upcoming system changes or migrations, but we do not proactively address employee anxiety or cultural roadblocks.
C) Structured Enablement: We deploy dedicated organizational change management (OCM) frameworks to map out stakeholder impacts, capture user feedback, and manage resistance proactively.
D) Continuous Evolution: Change readiness is a continuous competency; organizational adjustments are telemetry-driven, utilizing feedback loops to seamlessly execute large-scale transformations.</t>
    </r>
  </si>
  <si>
    <r>
      <rPr>
        <b/>
        <sz val="10"/>
        <color theme="1"/>
        <rFont val="Aptos"/>
        <family val="2"/>
      </rPr>
      <t xml:space="preserve">(Cloud Fluency)  </t>
    </r>
    <r>
      <rPr>
        <sz val="10"/>
        <color theme="1"/>
        <rFont val="Aptos"/>
        <family val="2"/>
      </rPr>
      <t xml:space="preserve">
Focuses on organizational evolution, culture, change management, and building a cloud-ready workforce</t>
    </r>
  </si>
  <si>
    <r>
      <rPr>
        <b/>
        <i/>
        <u/>
        <sz val="10"/>
        <color theme="1"/>
        <rFont val="Calibri"/>
        <family val="2"/>
        <scheme val="minor"/>
      </rPr>
      <t>Do non-technical business units (Finance, HR, Legal) possess a baseline understanding of cloud concepts?</t>
    </r>
    <r>
      <rPr>
        <sz val="10"/>
        <color theme="1"/>
        <rFont val="Calibri"/>
        <family val="2"/>
        <scheme val="minor"/>
      </rPr>
      <t xml:space="preserve">
</t>
    </r>
    <r>
      <rPr>
        <i/>
        <sz val="10"/>
        <color theme="1"/>
        <rFont val="Calibri"/>
        <family val="2"/>
        <scheme val="minor"/>
      </rPr>
      <t>A) Tech-Only: Only core developers and infrastructure engineers know what cloud computing is; business, legal, and financial departments are entirely in the dark.
B) Surface-Level Awareness: Non-technical leaders know basic buzzwords, but they still apply legacy on-premises mental models when reviewing cloud budgets, legal contracts, or hiring needs.
C) Multi-Disciplinary Fluency: Finance, Procurement, Legal, and HR teams have tailored cloud literacy training (e.g., FinOps certifications for accounting, SaaS compliance basics for legal).
D) Unified Business Language: Everyone across the organization shares a common language regarding cloud value; business units confidently build cloud-backed products without technical translation friction.</t>
    </r>
  </si>
  <si>
    <r>
      <rPr>
        <b/>
        <sz val="10"/>
        <color theme="1"/>
        <rFont val="Aptos"/>
        <family val="2"/>
      </rPr>
      <t xml:space="preserve">(Talent Acquisition)  </t>
    </r>
    <r>
      <rPr>
        <sz val="10"/>
        <color theme="1"/>
        <rFont val="Aptos"/>
        <family val="2"/>
      </rPr>
      <t xml:space="preserve">
Focuses on organizational evolution, culture, change management, and building a cloud-ready workforce</t>
    </r>
  </si>
  <si>
    <r>
      <rPr>
        <b/>
        <i/>
        <u/>
        <sz val="10"/>
        <color theme="1"/>
        <rFont val="Calibri"/>
        <family val="2"/>
        <scheme val="minor"/>
      </rPr>
      <t>Do you have a proactive strategy for recruiting and onboarding specialized cloud talent?</t>
    </r>
    <r>
      <rPr>
        <sz val="10"/>
        <color theme="1"/>
        <rFont val="Calibri"/>
        <family val="2"/>
        <scheme val="minor"/>
      </rPr>
      <t xml:space="preserve">
A) Reactive Hiring: We only post job ads when a critical engineer quits; recruiters use generic legacy IT descriptions that fail to attract qualified modern cloud specialists.
B) Vendor Reliance: We rely almost exclusively on external contractors and consultancies to build our cloud platforms because we cannot recruit or retain internal cloud talent.
C) Strategic Sourcing: We have an established employer brand for cloud engineering, defined modern job profiles, and regular recruitment pipelines with clear compensation targets.
D) Talent Magnet Ecosystem: Top-tier cloud professionals actively seek us out due to our open-source contributions, high-profile technology stack, and market reputation for modern engineering excellence.</t>
    </r>
  </si>
  <si>
    <r>
      <rPr>
        <b/>
        <sz val="10"/>
        <color theme="1"/>
        <rFont val="Aptos"/>
        <family val="2"/>
      </rPr>
      <t xml:space="preserve">(Skill Composition)  </t>
    </r>
    <r>
      <rPr>
        <sz val="10"/>
        <color theme="1"/>
        <rFont val="Aptos"/>
        <family val="2"/>
      </rPr>
      <t xml:space="preserve">
Focuses on organizational evolution, culture, change management, and building a cloud-ready workforce</t>
    </r>
  </si>
  <si>
    <t>Governance Perspective:</t>
  </si>
  <si>
    <r>
      <rPr>
        <b/>
        <i/>
        <u/>
        <sz val="11"/>
        <color theme="1"/>
        <rFont val="Calibri"/>
        <family val="2"/>
        <scheme val="minor"/>
      </rPr>
      <t>Does your team maintain an active registry of cloud certifications and practical skill competencies?</t>
    </r>
    <r>
      <rPr>
        <i/>
        <sz val="11"/>
        <color theme="1"/>
        <rFont val="Calibri"/>
        <family val="2"/>
        <scheme val="minor"/>
      </rPr>
      <t xml:space="preserve">
A) Unknown: We have no clear visibility into what cloud skills, certifications, or practical capabilities exist within our current workforce.
B) Individual Tracking: Employees maintain their own credentials; management keeps a manual spreadsheet of certifications that is rarely updated.
C) Centralized Skills Matrix: We map organizational cloud roles against a dynamic, centralized skills matrix that tracks real-time proficiencies, gaps, and formal certifications.
D) Predictive Capability Planning: Automated systems match enterprise technology roadmaps to real-time workforce competencies, flagging training paths months before a new feature set rolls out.</t>
    </r>
  </si>
  <si>
    <r>
      <rPr>
        <b/>
        <sz val="10"/>
        <color theme="1"/>
        <rFont val="Aptos"/>
        <family val="2"/>
      </rPr>
      <t xml:space="preserve">(Program and ProjectManagement)  </t>
    </r>
    <r>
      <rPr>
        <sz val="10"/>
        <color theme="1"/>
        <rFont val="Aptos"/>
        <family val="2"/>
      </rPr>
      <t xml:space="preserve">
Measures your ability to minimize risks, optimize costs, and maintain regulatory compliance in the cloud.</t>
    </r>
  </si>
  <si>
    <r>
      <rPr>
        <b/>
        <i/>
        <u/>
        <sz val="11"/>
        <color theme="1"/>
        <rFont val="Calibri"/>
        <family val="2"/>
        <scheme val="minor"/>
      </rPr>
      <t>Are cloud migrations managed using agile, iterative program management methodologies?</t>
    </r>
    <r>
      <rPr>
        <i/>
        <sz val="11"/>
        <color theme="1"/>
        <rFont val="Calibri"/>
        <family val="2"/>
        <scheme val="minor"/>
      </rPr>
      <t xml:space="preserve">
A) Waterfall Executions: Cloud migrations are run using rigid, multi-month waterfall milestones; any deviation from the initial plan triggers massive bureaucratic reviews.
B) Hybrid Agility: Teams use standups and kanban boards, but overall funding and major milestone deliveries remain chained to inflexible traditional deadlines.
C) Agile Delivery: Migrations and modernizations are run as genuinely iterative programs; teams deliver working software in 2-week sprints and constantly adapt to feedback.
D) Continuously Flowing Value: We utilize a fully scaled agile framework where product value streams deliver micro-features continuously to production without monolithic project cycles.</t>
    </r>
  </si>
  <si>
    <r>
      <rPr>
        <b/>
        <sz val="10"/>
        <color theme="1"/>
        <rFont val="Aptos"/>
        <family val="2"/>
      </rPr>
      <t xml:space="preserve">(Cloud Financial Management)  </t>
    </r>
    <r>
      <rPr>
        <sz val="10"/>
        <color theme="1"/>
        <rFont val="Aptos"/>
        <family val="2"/>
      </rPr>
      <t xml:space="preserve">
Measures your ability to minimize risks, optimize costs, and maintain regulatory compliance in the cloud.</t>
    </r>
  </si>
  <si>
    <r>
      <rPr>
        <b/>
        <i/>
        <u/>
        <sz val="10"/>
        <color theme="1"/>
        <rFont val="Calibri"/>
        <family val="2"/>
        <scheme val="minor"/>
      </rPr>
      <t>Do you have real-time visibility into cloud spend with automated budget alerts and clear cost allocation?</t>
    </r>
    <r>
      <rPr>
        <i/>
        <sz val="10"/>
        <color theme="1"/>
        <rFont val="Calibri"/>
        <family val="2"/>
        <scheme val="minor"/>
      </rPr>
      <t xml:space="preserve">
A) Reactive Invoicing: We simply pay the cloud bill at the end of the month; costs are frequently surprising, and we cannot easily map spend back to specific business applications.
B) Basic Tagging: We have implemented a baseline tagging policy for applications and environments, giving us a retrospective look at who is spending money, though budgets are frequently exceeded.
C) Proactive FinOps: We have established a FinOps culture with automated budget alerts, clear cost-allocation models, and monthly cost optimization reviews (e.g., tracking idle resources and purchasing savings plans).
D) Automated Unit Economics: Our FinOps practices are fully automated; cloud infrastructure spend is dynamically mapped to business KPIs (e.g., cost per active user), and automated systems terminate wasted resources in real time.</t>
    </r>
  </si>
  <si>
    <r>
      <rPr>
        <b/>
        <sz val="10"/>
        <color theme="1"/>
        <rFont val="Aptos"/>
        <family val="2"/>
      </rPr>
      <t xml:space="preserve">(Benefits Management)  </t>
    </r>
    <r>
      <rPr>
        <sz val="10"/>
        <color theme="1"/>
        <rFont val="Aptos"/>
        <family val="2"/>
      </rPr>
      <t xml:space="preserve">
Measures your ability to minimize risks, optimize costs, and maintain regulatory compliance in the cloud.</t>
    </r>
  </si>
  <si>
    <r>
      <rPr>
        <b/>
        <i/>
        <u/>
        <sz val="10"/>
        <color theme="1"/>
        <rFont val="Calibri"/>
        <family val="2"/>
        <scheme val="minor"/>
      </rPr>
      <t>Are financial KPIs (like Unit Economics or ROI) regularly tracked and adjusted?</t>
    </r>
    <r>
      <rPr>
        <i/>
        <sz val="10"/>
        <color theme="1"/>
        <rFont val="Calibri"/>
        <family val="2"/>
        <scheme val="minor"/>
      </rPr>
      <t xml:space="preserve">
A) Forgotten: Financial returns and business efficiencies are expected to occur automatically; we do not formally track key performance indicators post-deployment.
B) Cost-Focus Only: We only track whether the cloud is cheaper or more expensive than old hardware, ignoring all business value metrics like agility or uptime.
C) Balanced Scorecard: We systematically monitor a balanced set of KPIs (including infrastructure savings, application availability, and time-to-market improvements) against targets.
D) Value Optimization Engines: Real-time dashboards track business metrics continuously, allowing governance teams to redistribute cloud investments instantly to high-return products.</t>
    </r>
  </si>
  <si>
    <r>
      <rPr>
        <b/>
        <sz val="10"/>
        <color theme="1"/>
        <rFont val="Aptos"/>
        <family val="2"/>
      </rPr>
      <t xml:space="preserve">(Risk Management)  </t>
    </r>
    <r>
      <rPr>
        <sz val="10"/>
        <color theme="1"/>
        <rFont val="Aptos"/>
        <family val="2"/>
      </rPr>
      <t xml:space="preserve">
Measures your ability to minimize risks, optimize costs, and maintain regulatory compliance in the cloud.</t>
    </r>
  </si>
  <si>
    <r>
      <rPr>
        <b/>
        <sz val="10"/>
        <color theme="1"/>
        <rFont val="Aptos"/>
        <family val="2"/>
      </rPr>
      <t xml:space="preserve">(Compliance Management)  </t>
    </r>
    <r>
      <rPr>
        <sz val="10"/>
        <color theme="1"/>
        <rFont val="Aptos"/>
        <family val="2"/>
      </rPr>
      <t xml:space="preserve">
Measures your ability to minimize risks, optimize costs, and maintain regulatory compliance in the cloud.</t>
    </r>
  </si>
  <si>
    <r>
      <rPr>
        <b/>
        <i/>
        <u/>
        <sz val="10"/>
        <color theme="1"/>
        <rFont val="Calibri"/>
        <family val="2"/>
        <scheme val="minor"/>
      </rPr>
      <t>Do you possess automated tools to audit and enforce compliance with external regulations (GDPR, HIPAA, PCI-DSS)?</t>
    </r>
    <r>
      <rPr>
        <i/>
        <sz val="10"/>
        <color theme="1"/>
        <rFont val="Calibri"/>
        <family val="2"/>
        <scheme val="minor"/>
      </rPr>
      <t xml:space="preserve">
A) Manual Auditing: Compliance verification (for rules like GDPR, HIPAA, or PCI-DSS) is done via manual, once-a-year spreadsheets that disrupt our engineering teams for weeks.
B) Point-in-Time Controls: We construct compliant cloud setups during initial deployment, but we lack the tools to ensure those environments stay compliant over time.
C) Automated Enforcement: We use built-in cloud compliance monitors to track resource status continuously, generating instant alerts when configurations fall out of regulatory compliance.
D) Continuous Compliance-as-Code: Non-compliant infrastructure cannot physically be deployed; our automated pipelines immediately reject code that breaks regulatory policies and auto-remediate configuration drift.</t>
    </r>
  </si>
  <si>
    <r>
      <rPr>
        <b/>
        <i/>
        <u/>
        <sz val="10"/>
        <color theme="1"/>
        <rFont val="Calibri"/>
        <family val="2"/>
        <scheme val="minor"/>
      </rPr>
      <t xml:space="preserve">Is your corporate risk register updated to address cloud-specific risks (e.g., vendor lock-in, data sovereignty)?
</t>
    </r>
    <r>
      <rPr>
        <i/>
        <sz val="10"/>
        <color theme="1"/>
        <rFont val="Calibri"/>
        <family val="2"/>
        <scheme val="minor"/>
      </rPr>
      <t>A)Blind Spots: Our corporate risk register does not include cloud-specific threats; we assume the cloud provider handles all security, legal, and operational risks.
B) Qualitative Assessments: We document high-level cloud risks (like data breaches or vendor lock-in) manually, but we lack quantitative mitigation or monitoring strategies.
C) Integrated Cloud Risk Governance: Cloud-specific vulnerabilities (including cross-border data residency, shared responsibility failures, and vendor lock-in) are embedded into our formal risk management framework with clear mitigation protocols.
D) Continuous Risk Auditing: Risks are evaluated via continuous automation; live configuration monitors report immediate changes in our risk posture directly to enterprise risk platforms.</t>
    </r>
  </si>
  <si>
    <r>
      <rPr>
        <b/>
        <sz val="10"/>
        <color theme="1"/>
        <rFont val="Aptos"/>
        <family val="2"/>
      </rPr>
      <t xml:space="preserve">(Data Governance)  </t>
    </r>
    <r>
      <rPr>
        <sz val="10"/>
        <color theme="1"/>
        <rFont val="Aptos"/>
        <family val="2"/>
      </rPr>
      <t xml:space="preserve">
Measures your ability to minimize risks, optimize costs, and maintain regulatory compliance in the cloud.</t>
    </r>
  </si>
  <si>
    <r>
      <rPr>
        <b/>
        <i/>
        <u/>
        <sz val="10"/>
        <color theme="1"/>
        <rFont val="Calibri"/>
        <family val="2"/>
        <scheme val="minor"/>
      </rPr>
      <t>Are data classification policies, ownership matrices, and lifecycle retention rules enforced across cloud storage?</t>
    </r>
    <r>
      <rPr>
        <i/>
        <sz val="10"/>
        <color theme="1"/>
        <rFont val="Calibri"/>
        <family val="2"/>
        <scheme val="minor"/>
      </rPr>
      <t xml:space="preserve">
A) Free-for-All: Data is dropped into cloud storage buckets without classification rules, naming standards, or formal ownership, running high risks of exposure or loss.
B) Documented Policies: We have written data governance policies on our corporate wiki, but enforcement is entirely manual and relies on developers following the rules.
C) Programmatic Classification: We deploy automated scanning tools to discover, classify, and label sensitive data (like PII) in the cloud, enforcing encryption and lifecycle retention rules based on those labels.
D) Immutable Data Lineage: All data assets feature automated end-to-end lineage tracking; access permissions dynamically scale down or adjust based on data context and real-time user context.</t>
    </r>
  </si>
  <si>
    <r>
      <rPr>
        <b/>
        <sz val="10"/>
        <color theme="1"/>
        <rFont val="Aptos"/>
        <family val="2"/>
      </rPr>
      <t xml:space="preserve">(Enterprise Architecture)  </t>
    </r>
    <r>
      <rPr>
        <sz val="10"/>
        <color theme="1"/>
        <rFont val="Aptos"/>
        <family val="2"/>
      </rPr>
      <t xml:space="preserve">
Measures your ability to minimize risks, optimize costs, and maintain regulatory compliance in the cloud.</t>
    </r>
  </si>
  <si>
    <r>
      <rPr>
        <b/>
        <i/>
        <u/>
        <sz val="10"/>
        <color theme="1"/>
        <rFont val="Calibri"/>
        <family val="2"/>
        <scheme val="minor"/>
      </rPr>
      <t>Is there a defined target architecture blueprint guiding all new cloud deployments?</t>
    </r>
    <r>
      <rPr>
        <i/>
        <sz val="10"/>
        <color theme="1"/>
        <rFont val="Calibri"/>
        <family val="2"/>
        <scheme val="minor"/>
      </rPr>
      <t xml:space="preserve">
A) Non-Existent: Every engineering team picks their own cloud services, database paradigms, and connection methods, leading to an unmanageable mess of systems.
B) Reference Documents: We publish static architecture PDF design guidelines, but developers regularly ignore them to speed up their own deliveries.
C) Living Landing Zones: Enterprise architecture is codified directly into repeatable multi-account landing zones; standard application blueprints are provided to engineers for automated reuse.
D) Evolutionary Composability: The architecture functions as a modular mesh of reusable, verified services; blueprints update automatically without disrupting active downstream applications.</t>
    </r>
  </si>
  <si>
    <r>
      <rPr>
        <b/>
        <sz val="10"/>
        <color theme="1"/>
        <rFont val="Aptos"/>
        <family val="2"/>
      </rPr>
      <t xml:space="preserve">(Vendor Management)  </t>
    </r>
    <r>
      <rPr>
        <sz val="10"/>
        <color theme="1"/>
        <rFont val="Aptos"/>
        <family val="2"/>
      </rPr>
      <t xml:space="preserve">
Measures your ability to minimize risks, optimize costs, and maintain regulatory compliance in the cloud.</t>
    </r>
  </si>
  <si>
    <r>
      <rPr>
        <b/>
        <i/>
        <u/>
        <sz val="10"/>
        <color theme="1"/>
        <rFont val="Calibri"/>
        <family val="2"/>
        <scheme val="minor"/>
      </rPr>
      <t xml:space="preserve">How effectively do you manage cloud service level agreements (SLAs) and vendor contracts? </t>
    </r>
    <r>
      <rPr>
        <i/>
        <sz val="10"/>
        <color theme="1"/>
        <rFont val="Calibri"/>
        <family val="2"/>
        <scheme val="minor"/>
      </rPr>
      <t xml:space="preserve">
A) Ungoverned: Individual developers sign up for cloud services using personal or corporate credit cards, leaving procurement with zero visibility or leverage.
B) Centralized Billing: All cloud bills go through central procurement, but we negotiate contracts reactively without leveraging our true aggregate enterprise spending power.
C) Strategic Contract Governance: We leverage multi-cloud strategies and aggregate spending metrics to negotiate enterprise discount plans, strict vendor SLAs, and custom support contracts.
D) Marketplace Lifecycle Automation: Vendor software discovery, licensing, and compliance tracking are integrated directly into our self-service developer catalog, complete with automated cost optimization.</t>
    </r>
  </si>
  <si>
    <t>Platform Perspective:</t>
  </si>
  <si>
    <r>
      <rPr>
        <b/>
        <i/>
        <u/>
        <sz val="10"/>
        <color theme="1"/>
        <rFont val="Calibri"/>
        <family val="2"/>
        <scheme val="minor"/>
      </rPr>
      <t>Do your systems leverage cloud-native design patterns like microservices, serverless, and event-driven architecture?</t>
    </r>
    <r>
      <rPr>
        <i/>
        <sz val="10"/>
        <color theme="1"/>
        <rFont val="Calibri"/>
        <family val="2"/>
        <scheme val="minor"/>
      </rPr>
      <t xml:space="preserve">
A) Lift-and-Shift Legacy: Applications are simply copied onto basic cloud virtual machines without any adjustments, keeping all legacy monolith limitations.
B) Partially Modernized: We use basic cloud abstractions like managed containers for some applications, but the core business logic remains locked inside heavy, hard-to-scale monoliths.
C) Cloud-Native Patterns: New applications are built entirely using modular microservices, serverless logic, and decoupled event-driven architectures to ensure maximum resilience.
D) Highly Composable Mesh: Systems leverage zero-downtime multi-region cells; architectures scale dynamically and heal themselves based on real-time traffic profiles.</t>
    </r>
  </si>
  <si>
    <r>
      <rPr>
        <b/>
        <sz val="10"/>
        <color theme="1"/>
        <rFont val="Aptos"/>
        <family val="2"/>
      </rPr>
      <t xml:space="preserve">(System Architecture)  </t>
    </r>
    <r>
      <rPr>
        <sz val="10"/>
        <color theme="1"/>
        <rFont val="Aptos"/>
        <family val="2"/>
      </rPr>
      <t xml:space="preserve">
Assesses the architecture, delivery, and infrastructure patterns used to build scalable cloud environments.</t>
    </r>
  </si>
  <si>
    <r>
      <rPr>
        <b/>
        <sz val="10"/>
        <color theme="1"/>
        <rFont val="Aptos"/>
        <family val="2"/>
      </rPr>
      <t xml:space="preserve">(Data Architecture)  </t>
    </r>
    <r>
      <rPr>
        <sz val="10"/>
        <color theme="1"/>
        <rFont val="Aptos"/>
        <family val="2"/>
      </rPr>
      <t xml:space="preserve">
Assesses the architecture, delivery, and infrastructure patterns used to build scalable cloud environments.</t>
    </r>
  </si>
  <si>
    <r>
      <rPr>
        <b/>
        <i/>
        <u/>
        <sz val="11"/>
        <color theme="1"/>
        <rFont val="Calibri"/>
        <family val="2"/>
        <scheme val="minor"/>
      </rPr>
      <t>Are your databases correctly aligned to workloads (e.g., NoSQL, Data Lakes, Data Warehouses)?</t>
    </r>
    <r>
      <rPr>
        <i/>
        <sz val="11"/>
        <color theme="1"/>
        <rFont val="Calibri"/>
        <family val="2"/>
        <scheme val="minor"/>
      </rPr>
      <t xml:space="preserve">
A) Relational-Only: Every single workload is forced into a standard SQL database, regardless of whether the data fits structured tables, causing major scaling issues.
B) Separated Analytics: We run separate transactional and analytics databases, but pipelines are brittle, manual, and rely on heavy overnight batch processes.
C) Purpose-Built Data Mesh: We align data storage to workload requirements, utilizing NoSQL for speed, Data Lakes for raw storage, and managed Warehouses for business intelligence.
D) Real-Time Unified Fabric: Data streams across a decentralized mesh; transactional and analytical engines process massive data volumes concurrently with near-zero latency.</t>
    </r>
  </si>
  <si>
    <r>
      <rPr>
        <b/>
        <sz val="10"/>
        <color theme="1"/>
        <rFont val="Aptos"/>
        <family val="2"/>
      </rPr>
      <t xml:space="preserve">(Infrastructure Architecture)  </t>
    </r>
    <r>
      <rPr>
        <sz val="10"/>
        <color theme="1"/>
        <rFont val="Aptos"/>
        <family val="2"/>
      </rPr>
      <t xml:space="preserve">
Assesses the architecture, delivery, and infrastructure patterns used to build scalable cloud environments.</t>
    </r>
  </si>
  <si>
    <r>
      <rPr>
        <b/>
        <i/>
        <u/>
        <sz val="11"/>
        <color theme="1"/>
        <rFont val="Calibri"/>
        <family val="2"/>
        <scheme val="minor"/>
      </rPr>
      <t>Are networking, hybrid connectivity, and landing zones architected for high availability and low latency?</t>
    </r>
    <r>
      <rPr>
        <i/>
        <sz val="11"/>
        <color theme="1"/>
        <rFont val="Calibri"/>
        <family val="2"/>
        <scheme val="minor"/>
      </rPr>
      <t xml:space="preserve">
A) Chaotic Foundations: Cloud accounts are created haphazardly; networks feature overlapping IP spaces, no clear firewalls, and fragile hybrid connections back to on-premises rooms.
B) Static Hub-and-Spoke: We maintain a standardized central network layout, but configuring new connections, subnets, or secure routing rules requires opening manual IT tickets.
C) Automated Multi-Account Infrastructure: Networking is deployed using a standard multi-account landing zone framework featuring automated cross-region hub-and-spoke routing and reliable hybrid links.
D) Software-Defined Intent Network: Networks self-provision dynamically based on application deployment specifications, automatically routing traffic around failures or latency spikes.</t>
    </r>
  </si>
  <si>
    <r>
      <rPr>
        <b/>
        <sz val="10"/>
        <color theme="1"/>
        <rFont val="Aptos"/>
        <family val="2"/>
      </rPr>
      <t xml:space="preserve">(Compute Management)  </t>
    </r>
    <r>
      <rPr>
        <sz val="10"/>
        <color theme="1"/>
        <rFont val="Aptos"/>
        <family val="2"/>
      </rPr>
      <t xml:space="preserve">
Assesses the architecture, delivery, and infrastructure patterns used to build scalable cloud environments.</t>
    </r>
  </si>
  <si>
    <r>
      <rPr>
        <b/>
        <i/>
        <u/>
        <sz val="10"/>
        <color theme="1"/>
        <rFont val="Calibri"/>
        <family val="2"/>
        <scheme val="minor"/>
      </rPr>
      <t xml:space="preserve">How efficiently are your compute resources provisioned, auto-scaled, and right-sized?
</t>
    </r>
    <r>
      <rPr>
        <i/>
        <sz val="10"/>
        <color theme="1"/>
        <rFont val="Calibri"/>
        <family val="2"/>
        <scheme val="minor"/>
      </rPr>
      <t>A) Fixed Virtual Machines: We provision cloud servers based on peak estimated capacity and leave them running permanently, wasting massive amounts of capital.
B) Basic Auto-Scaling: We use automated scaling rules based on simple CPU metrics, but instances take a long time to boot up and scaling parameters are rarely tuned.
C) Optimized Multi-Form Compute: Compute models match exact workload requirements, effectively combining serverless functions, container groups, and scheduled instance configurations.
D) Dynamic Resource Allocation: Smart orchestration systems dynamically shift workloads among spot instances, serverless nodes, and custom chip architectures to maximize performance and minimize cost.</t>
    </r>
  </si>
  <si>
    <r>
      <rPr>
        <b/>
        <sz val="10"/>
        <color theme="1"/>
        <rFont val="Aptos"/>
        <family val="2"/>
      </rPr>
      <t xml:space="preserve">(Network Management)  </t>
    </r>
    <r>
      <rPr>
        <sz val="10"/>
        <color theme="1"/>
        <rFont val="Aptos"/>
        <family val="2"/>
      </rPr>
      <t xml:space="preserve">
Assesses the architecture, delivery, and infrastructure patterns used to build scalable cloud environments.</t>
    </r>
  </si>
  <si>
    <r>
      <rPr>
        <b/>
        <sz val="10"/>
        <color theme="1"/>
        <rFont val="Aptos"/>
        <family val="2"/>
      </rPr>
      <t xml:space="preserve">(Storage Management)  </t>
    </r>
    <r>
      <rPr>
        <sz val="10"/>
        <color theme="1"/>
        <rFont val="Aptos"/>
        <family val="2"/>
      </rPr>
      <t xml:space="preserve">
Assesses the architecture, delivery, and infrastructure patterns used to build scalable cloud environments.</t>
    </r>
  </si>
  <si>
    <r>
      <rPr>
        <b/>
        <i/>
        <u/>
        <sz val="10"/>
        <color theme="1"/>
        <rFont val="Calibri"/>
        <family val="2"/>
        <scheme val="minor"/>
      </rPr>
      <t>Are cloud networks isolated using secure VPCs/VNets, micro-segmentation, and robust firewalls?</t>
    </r>
    <r>
      <rPr>
        <i/>
        <sz val="10"/>
        <color theme="1"/>
        <rFont val="Calibri"/>
        <family val="2"/>
        <scheme val="minor"/>
      </rPr>
      <t xml:space="preserve">
A) Periphery Only: We protect the network perimeter with a basic firewall, but once traffic enters our cloud environment, all resources can communicate openly without restrictions.
B) Manual Segregation: We use basic network subnets and security groups to separate systems, but rules are managed manually and grow unmanageable over time.
C) Comprehensive Micro-Segmentation: Network isolation is tightly maintained at the workload layer using zero-trust application firewalls, encrypted internal transit, and strict perimeter controls.
D) Autonomous Mesh Protection: Security meshes dynamically enforce intent-driven traffic policies, immediately isolating anomalous nodes or unexpected traffic paths without human intervention.</t>
    </r>
  </si>
  <si>
    <r>
      <rPr>
        <b/>
        <i/>
        <u/>
        <sz val="10"/>
        <color theme="1"/>
        <rFont val="Calibri"/>
        <family val="2"/>
        <scheme val="minor"/>
      </rPr>
      <t>Is data distributed efficiently across hot, cool, and archive storage tiers to minimize waste?</t>
    </r>
    <r>
      <rPr>
        <i/>
        <sz val="10"/>
        <color theme="1"/>
        <rFont val="Calibri"/>
        <family val="2"/>
        <scheme val="minor"/>
      </rPr>
      <t xml:space="preserve">
A) Undifferentiated Accumulation: All data is kept permanently on expensive, high-performance primary cloud storage disks; old, unused files are never deleted or archived.
B) Manual Cleanup: Engineers occasionally run manual deletion passes or move old files to cheaper storage tiers when disk capacity warnings trigger.
C) Automated Lifecycle Tiers: Storage policies programmatically move data from fast flash storage to cold or archive tiers based on clear file-age and access rules.
D) Intelligent Storage Optimization: Machine learning systems analyze file access patterns in real time, moving objects seamlessly between tiers to maximize read speeds while keeping costs minimal.</t>
    </r>
  </si>
  <si>
    <r>
      <rPr>
        <b/>
        <sz val="10"/>
        <color theme="1"/>
        <rFont val="Aptos"/>
        <family val="2"/>
      </rPr>
      <t xml:space="preserve">(Configuration Management)  </t>
    </r>
    <r>
      <rPr>
        <sz val="10"/>
        <color theme="1"/>
        <rFont val="Aptos"/>
        <family val="2"/>
      </rPr>
      <t xml:space="preserve">
Assesses the architecture, delivery, and infrastructure patterns used to build scalable cloud environments.</t>
    </r>
  </si>
  <si>
    <r>
      <rPr>
        <b/>
        <i/>
        <u/>
        <sz val="10"/>
        <color theme="1"/>
        <rFont val="Calibri"/>
        <family val="2"/>
        <scheme val="minor"/>
      </rPr>
      <t>Are environment configurations tracked dynamically without hardcoded elements or manual overrides?</t>
    </r>
    <r>
      <rPr>
        <i/>
        <sz val="10"/>
        <color theme="1"/>
        <rFont val="Calibri"/>
        <family val="2"/>
        <scheme val="minor"/>
      </rPr>
      <t xml:space="preserve">
A) Manual Configuration Change: Changes to application settings, environment configurations, and secrets are typed directly into production servers by individual engineers.
B) Centralized Environment Files: Configurations are saved in central text files or basic code repositories, but secrets are often hardcoded and systems must be restarted to apply changes.
C) Dynamic Configuration Services: Configurations are decoupled from application code and injected dynamically via central configuration managers and secure secrets vaults.
D) Real-Time Desired-State Drift Control: Configuration states are continuously monitored; automated management tools instantly overwrite unauthorized manual modifications to keep systems stable.</t>
    </r>
  </si>
  <si>
    <r>
      <rPr>
        <b/>
        <sz val="10"/>
        <color theme="1"/>
        <rFont val="Aptos"/>
        <family val="2"/>
      </rPr>
      <t xml:space="preserve">(Provisioning Engine)  </t>
    </r>
    <r>
      <rPr>
        <sz val="10"/>
        <color theme="1"/>
        <rFont val="Aptos"/>
        <family val="2"/>
      </rPr>
      <t xml:space="preserve">
Assesses the architecture, delivery, and infrastructure patterns used to build scalable cloud environments.</t>
    </r>
  </si>
  <si>
    <r>
      <rPr>
        <b/>
        <i/>
        <u/>
        <sz val="10"/>
        <color theme="1"/>
        <rFont val="Calibri"/>
        <family val="2"/>
        <scheme val="minor"/>
      </rPr>
      <t xml:space="preserve">Do you rely on Infrastructure as Code (IaC) tools to consistently deploy environments? </t>
    </r>
    <r>
      <rPr>
        <i/>
        <sz val="10"/>
        <color theme="1"/>
        <rFont val="Calibri"/>
        <family val="2"/>
        <scheme val="minor"/>
      </rPr>
      <t xml:space="preserve">
A) Manual Provisioning: Resources are created manually via the cloud web console or via ad-hoc scripts written by individual engineers.
B) Templated Setup: We use basic Infrastructure as Code (IaC) templates to stand up new environments, but subsequent changes, patches, and configurations are done manually over time.
C) CI/CD Integrated IaC: All infrastructure is defined in version-controlled IaC code repositories; deployments and changes to environments are executed strictly through automated CI/CD pipelines.
D) Policy-as-Code Enforcement: Our IaC pipelines automatically evaluate all code against organizational security and compliance policies before any cloud infrastructure is permitted to deploy.</t>
    </r>
  </si>
  <si>
    <t>Security Perspective:</t>
  </si>
  <si>
    <r>
      <rPr>
        <b/>
        <sz val="10"/>
        <color theme="1"/>
        <rFont val="Aptos"/>
        <family val="2"/>
      </rPr>
      <t xml:space="preserve">(Security Governance)  </t>
    </r>
    <r>
      <rPr>
        <sz val="10"/>
        <color theme="1"/>
        <rFont val="Aptos"/>
        <family val="2"/>
      </rPr>
      <t xml:space="preserve">
Evaluates identity, data protection, threat detection, and incident response measures.</t>
    </r>
  </si>
  <si>
    <r>
      <rPr>
        <b/>
        <i/>
        <u/>
        <sz val="10"/>
        <color theme="1"/>
        <rFont val="Calibri"/>
        <family val="2"/>
        <scheme val="minor"/>
      </rPr>
      <t>Are corporate security policies customized and enforced specifically for cloud operating models?</t>
    </r>
    <r>
      <rPr>
        <i/>
        <sz val="10"/>
        <color theme="1"/>
        <rFont val="Calibri"/>
        <family val="2"/>
        <scheme val="minor"/>
      </rPr>
      <t xml:space="preserve">
A) Legacy Copy-Paste: We try to apply our old, on-premises security policy documents to the cloud word-for-word, which slows down development and leaves major cloud risks unprotected.
B) Security Exceptions: We have a separate cloud security policy document, but it is so rigid that developers constantly bypass it via temporary security exceptions to hit their deadlines.
C) Cloud-Native Security Governance: Security leadership actively participates in the CCoE, publishing clear guardrails and automated templates that integrate security into the regular build cycle.
D) Threat-Informed Strategy: Security guidelines change dynamically based on global threat data and live internal metrics, ensuring protection models evolve faster than attackers.</t>
    </r>
  </si>
  <si>
    <r>
      <rPr>
        <b/>
        <sz val="10"/>
        <color theme="1"/>
        <rFont val="Aptos"/>
        <family val="2"/>
      </rPr>
      <t xml:space="preserve">(Identity &amp; Access Management)   </t>
    </r>
    <r>
      <rPr>
        <sz val="10"/>
        <color theme="1"/>
        <rFont val="Aptos"/>
        <family val="2"/>
      </rPr>
      <t xml:space="preserve">
Evaluates identity, data protection, threat detection, and incident response measures.</t>
    </r>
  </si>
  <si>
    <r>
      <rPr>
        <b/>
        <i/>
        <u/>
        <sz val="10"/>
        <color theme="1"/>
        <rFont val="Calibri"/>
        <family val="2"/>
        <scheme val="minor"/>
      </rPr>
      <t>Is access governed by the Principle of Least Privilege and protected by Mandatory Multi-Factor Authentication (MFA)?</t>
    </r>
    <r>
      <rPr>
        <i/>
        <sz val="10"/>
        <color theme="1"/>
        <rFont val="Calibri"/>
        <family val="2"/>
        <scheme val="minor"/>
      </rPr>
      <t xml:space="preserve">
A) Shared &amp; Long-Lived: Users share generic administrative accounts or use long-lived credential keys; Multi-Factor Authentication (MFA) is not strictly enforced.
B) Basic Centralization: We sync our corporate identity directory with the cloud provider, but users often hold overly broad permissions, and access reviews are performed manually and infrequently.
C) Least-Privilege &amp; MFA: We strictly enforce the principle of least-privilege using role-based access control (RBAC); mandatory MFA is active for all users, and programmatic keys are automatically rotated.
D) Zero-Trust &amp; Just-In-Time: We operate on a strict Zero-Trust model; engineers do not have standing production access and must request temporary, Just-In-Time (JIT) elevated permissions that automatically expire.</t>
    </r>
  </si>
  <si>
    <r>
      <rPr>
        <b/>
        <sz val="10"/>
        <color theme="1"/>
        <rFont val="Aptos"/>
        <family val="2"/>
      </rPr>
      <t xml:space="preserve">(Infrastructure Protection)  </t>
    </r>
    <r>
      <rPr>
        <sz val="10"/>
        <color theme="1"/>
        <rFont val="Aptos"/>
        <family val="2"/>
      </rPr>
      <t xml:space="preserve">
Evaluates identity, data protection, threat detection, and incident response measures.</t>
    </r>
  </si>
  <si>
    <r>
      <rPr>
        <b/>
        <i/>
        <u/>
        <sz val="10"/>
        <color theme="1"/>
        <rFont val="Calibri"/>
        <family val="2"/>
        <scheme val="minor"/>
      </rPr>
      <t>Are your network perimeters and edge systems actively defended against DDoS attacks and vulnerabilities?</t>
    </r>
    <r>
      <rPr>
        <i/>
        <sz val="10"/>
        <color theme="1"/>
        <rFont val="Calibri"/>
        <family val="2"/>
        <scheme val="minor"/>
      </rPr>
      <t xml:space="preserve">
A) Unprotected Perimeters: Cloud systems have public IP addresses exposed directly to the open internet without any centralized firewall, DDoS mitigation, or ingress filtering.
B) Basic Gateway Security: We use basic cloud-native firewalls and public load balancers, but rules are adjusted manually and public endpoints are added without strict oversight.
C) Deep Multi-Layered Defense: Infrastructure is shielded by comprehensive edge protection, advanced firewalls, automated DDoS mitigations, and strict web application routing.
D) Cognitive Perimeter Adaptive Defenses: Edge defense systems automatically update firewall rules and access points globally based on live threat intelligence feeds.</t>
    </r>
  </si>
  <si>
    <r>
      <rPr>
        <b/>
        <sz val="10"/>
        <color theme="1"/>
        <rFont val="Aptos"/>
        <family val="2"/>
      </rPr>
      <t xml:space="preserve">(Data Protection At Rest) </t>
    </r>
    <r>
      <rPr>
        <sz val="10"/>
        <color theme="1"/>
        <rFont val="Aptos"/>
        <family val="2"/>
      </rPr>
      <t xml:space="preserve">
Evaluates identity, data protection, threat detection, and incident response measures.</t>
    </r>
  </si>
  <si>
    <r>
      <rPr>
        <b/>
        <i/>
        <u/>
        <sz val="10"/>
        <color theme="1"/>
        <rFont val="Calibri"/>
        <family val="2"/>
        <scheme val="minor"/>
      </rPr>
      <t>Is all sensitive data stored in the cloud encrypted using customer-managed or securely rotated keys?</t>
    </r>
    <r>
      <rPr>
        <i/>
        <sz val="10"/>
        <color theme="1"/>
        <rFont val="Calibri"/>
        <family val="2"/>
        <scheme val="minor"/>
      </rPr>
      <t xml:space="preserve">
A) Unencrypted Data: Databases, file systems, and backups are stored unencrypted; anyone with raw access to the storage system can read all company data.
B) Default Cloud Encryption: Data is encrypted using basic, cloud-provider-managed keys, but we lack control over key rotation and do not track who uses the keys.
C) Customer-Managed Rotation: All sensitive data is encrypted using custom-managed keys with automated rotation schedules and strict access logging.
D) Ubiquitous Confidential Computing: Data remains completely encrypted even while actively processing in memory, utilizing hardware-level secure enclaves across all platforms.</t>
    </r>
  </si>
  <si>
    <r>
      <rPr>
        <b/>
        <sz val="10"/>
        <color theme="1"/>
        <rFont val="Aptos"/>
        <family val="2"/>
      </rPr>
      <t xml:space="preserve">(Data Protection In Transit)  </t>
    </r>
    <r>
      <rPr>
        <sz val="10"/>
        <color theme="1"/>
        <rFont val="Aptos"/>
        <family val="2"/>
      </rPr>
      <t xml:space="preserve">
Evaluates identity, data protection, threat detection, and incident response measures.</t>
    </r>
  </si>
  <si>
    <r>
      <rPr>
        <b/>
        <i/>
        <u/>
        <sz val="10"/>
        <color theme="1"/>
        <rFont val="Calibri"/>
        <family val="2"/>
        <scheme val="minor"/>
      </rPr>
      <t>Is data encryption strictly enforced for all internal and external network traffic?</t>
    </r>
    <r>
      <rPr>
        <i/>
        <sz val="10"/>
        <color theme="1"/>
        <rFont val="Calibri"/>
        <family val="2"/>
        <scheme val="minor"/>
      </rPr>
      <t xml:space="preserve">
A) Plaintext Traffic: Internal microservice communications and database connections send data in unencrypted plaintext across our internal network clouds.
B) External SSL Only: We encrypt traffic coming from the outside internet via HTTPS, but internal service-to-service networks remain unencrypted.
C) Universal TLS Enforcement: Every single network connection, both external and internal, is strictly encrypted using modern Transport Layer Security (TLS) with automated certificate renewals.
D) Cryptographic Identity Verification: Service meshes use mutual TLS (mTLS) to encrypt all internal traffic while simultaneously checking the cryptographic identity of every microservice.</t>
    </r>
  </si>
  <si>
    <r>
      <rPr>
        <b/>
        <sz val="10"/>
        <color theme="1"/>
        <rFont val="Aptos"/>
        <family val="2"/>
      </rPr>
      <t xml:space="preserve">(Threat Detection)  </t>
    </r>
    <r>
      <rPr>
        <sz val="10"/>
        <color theme="1"/>
        <rFont val="Aptos"/>
        <family val="2"/>
      </rPr>
      <t xml:space="preserve">
Evaluates identity, data protection, threat detection, and incident response measures.</t>
    </r>
  </si>
  <si>
    <r>
      <rPr>
        <b/>
        <i/>
        <u/>
        <sz val="10"/>
        <color theme="1"/>
        <rFont val="Calibri"/>
        <family val="2"/>
        <scheme val="minor"/>
      </rPr>
      <t>Do you utilize automated, continuous security logging and anomaly detection across all cloud accounts?</t>
    </r>
    <r>
      <rPr>
        <i/>
        <sz val="10"/>
        <color theme="1"/>
        <rFont val="Calibri"/>
        <family val="2"/>
        <scheme val="minor"/>
      </rPr>
      <t xml:space="preserve">
A) Silent Environments: We do not collect system logs, or logs are left scattered across separate servers; we only find out about security breaches if external parties alert us.
B) Reactive Searching: Logs are saved in a central bucket, but we only look at them retrospectively to investigate a security incident after it has already occurred.
C) Continuous SIEM Monitoring: Cloud audit trails and access records stream continuously into a central Security Information and Event Management (SIEM) tool that triggers instant alerts on anomalies.
D) Autonomous Behavioral Analysis: AI threat analysis tools evaluate live user behavior patterns across all systems, immediately flagging and neutralizing unknown zero-day attacks.</t>
    </r>
  </si>
  <si>
    <r>
      <rPr>
        <b/>
        <i/>
        <u/>
        <sz val="10"/>
        <color theme="1"/>
        <rFont val="Calibri"/>
        <family val="2"/>
        <scheme val="minor"/>
      </rPr>
      <t>Is there a documented, cloud-tested incident response plan to isolate and remediate security breaches?</t>
    </r>
    <r>
      <rPr>
        <i/>
        <sz val="10"/>
        <color theme="1"/>
        <rFont val="Calibri"/>
        <family val="2"/>
        <scheme val="minor"/>
      </rPr>
      <t xml:space="preserve">
A) Unprepared: We have no documented cloud incident response plan; a security breach leads to chaotic, uncoordinated troubleshooting phone calls.
B) Manual Runbooks: We have a documented security response plan, but it relies completely on engineers performing manual containment steps during an active emergency.
C) Automated Containment: We use automated response workflows (SOAR) that instantly perform isolation steps, like locking a compromised credential or disconnecting an infected system.
D) Continuous Adversarial Simulation: Automated breach simulation tools continuously attack our own cloud networks to test and refine our fully autonomous containment engines.</t>
    </r>
  </si>
  <si>
    <r>
      <rPr>
        <b/>
        <sz val="10"/>
        <color theme="1"/>
        <rFont val="Aptos"/>
        <family val="2"/>
      </rPr>
      <t xml:space="preserve">(Incident Response)  </t>
    </r>
    <r>
      <rPr>
        <sz val="10"/>
        <color theme="1"/>
        <rFont val="Aptos"/>
        <family val="2"/>
      </rPr>
      <t xml:space="preserve">
Evaluates identity, data protection, threat detection, and incident response measures.</t>
    </r>
  </si>
  <si>
    <r>
      <rPr>
        <b/>
        <sz val="10"/>
        <color theme="1"/>
        <rFont val="Aptos"/>
        <family val="2"/>
      </rPr>
      <t xml:space="preserve">(Vulnerability Management)  </t>
    </r>
    <r>
      <rPr>
        <sz val="10"/>
        <color theme="1"/>
        <rFont val="Aptos"/>
        <family val="2"/>
      </rPr>
      <t xml:space="preserve">
Evaluates identity, data protection, threat detection, and incident response measures.</t>
    </r>
  </si>
  <si>
    <r>
      <rPr>
        <b/>
        <i/>
        <u/>
        <sz val="10"/>
        <color theme="1"/>
        <rFont val="Calibri"/>
        <family val="2"/>
        <scheme val="minor"/>
      </rPr>
      <t>Are automated code and container scans integrated directly into your build cycles?</t>
    </r>
    <r>
      <rPr>
        <i/>
        <sz val="10"/>
        <color theme="1"/>
        <rFont val="Calibri"/>
        <family val="2"/>
        <scheme val="minor"/>
      </rPr>
      <t xml:space="preserve">
A) Ignored Risks: We run no security vulnerability scans on our software code or software packages; outdated and insecure packages are regularly shipped to production.
B) Scheduled Scans: We run vulnerability scans on our production environments once a month or quarter, leaving long windows where new security holes remain wide open.
C) DevSecOps Pipeline Integration: Vulnerability scanning is built directly into our deployment pipelines; any code or container image with a critical security flaw is blocked automatically.
D) Continuous Runtime Scanning: Security scanners monitor memory states and software dependencies dynamically in production, initiating automated patches without breaking application availability.</t>
    </r>
  </si>
  <si>
    <t>Target Cloud Operating Model &amp; Execution Strategy</t>
  </si>
  <si>
    <t>Operations Perspective:</t>
  </si>
  <si>
    <r>
      <t xml:space="preserve">(Application Performance Monitoring (APM))
</t>
    </r>
    <r>
      <rPr>
        <sz val="10"/>
        <color theme="1"/>
        <rFont val="Aptos"/>
        <family val="2"/>
      </rPr>
      <t xml:space="preserve">Measures your day-to-day management, observability, and service reliability in a cloud environment. </t>
    </r>
  </si>
  <si>
    <r>
      <rPr>
        <b/>
        <i/>
        <u/>
        <sz val="10"/>
        <color theme="1"/>
        <rFont val="Calibri"/>
        <family val="2"/>
        <scheme val="minor"/>
      </rPr>
      <t>Do you have deep, end-to-end visibility into application health and user transactions?</t>
    </r>
    <r>
      <rPr>
        <i/>
        <sz val="10"/>
        <color theme="1"/>
        <rFont val="Calibri"/>
        <family val="2"/>
        <scheme val="minor"/>
      </rPr>
      <t xml:space="preserve">
A) Black Box: We have no visibility into application code performance; we only know an application is broken or running slow if users complain to our support line.
B) Basic Log Parsing: We can search text error logs to find code exceptions after a crash, but we cannot visualize internal application bottlenecks or track specific user requests.
C) End-to-End Tracing: We deploy specialized APM tools that trace individual user requests across all microservices, providing real-time maps of code latency and database delays.
D) Self-Healing Applications: APM analytics feed directly into our infrastructure control engines, automatically modifying software settings or restarting microservices to correct slowdowns before users notice.
</t>
    </r>
  </si>
  <si>
    <r>
      <t xml:space="preserve">(Resource Monitoring)
</t>
    </r>
    <r>
      <rPr>
        <sz val="10"/>
        <color theme="1"/>
        <rFont val="Aptos"/>
        <family val="2"/>
      </rPr>
      <t xml:space="preserve">Measures your day-to-day management, observability, and service reliability in a cloud environment. </t>
    </r>
  </si>
  <si>
    <r>
      <rPr>
        <b/>
        <i/>
        <u/>
        <sz val="10"/>
        <color theme="1"/>
        <rFont val="Calibri"/>
        <family val="2"/>
        <scheme val="minor"/>
      </rPr>
      <t>Are infrastructure metrics (CPU, Memory, I/O) aggregated into a centralized dashboard?</t>
    </r>
    <r>
      <rPr>
        <i/>
        <sz val="10"/>
        <color theme="1"/>
        <rFont val="Calibri"/>
        <family val="2"/>
        <scheme val="minor"/>
      </rPr>
      <t xml:space="preserve">
A) Blind Infrastructure: We do not track infrastructure health metrics like CPU use or disk space; we only notice capacity issues when a server completely runs out of room and crashes.
B) Isolated Dashboards: Infrastructure metrics are tracked, but the data is split across multiple separate tool screens, requiring manual effort to connect the dots during an incident.
C) Centralized Telemetry Hub: All infrastructure metrics, network data, and platform records are collected in real time onto a single unified monitoring screen.
D) Predictive Capacity Optimization: Telemetry platforms use machine learning to analyze usage patterns, automatically scaling resources hours before expected high-traffic events hit the system.</t>
    </r>
  </si>
  <si>
    <r>
      <t xml:space="preserve">(Change Management (DevOps))
</t>
    </r>
    <r>
      <rPr>
        <sz val="10"/>
        <color theme="1"/>
        <rFont val="Aptos"/>
        <family val="2"/>
      </rPr>
      <t xml:space="preserve">Measures your day-to-day management, observability, and service reliability in a cloud environment. </t>
    </r>
  </si>
  <si>
    <r>
      <rPr>
        <b/>
        <i/>
        <u/>
        <sz val="10"/>
        <color theme="1"/>
        <rFont val="Calibri"/>
        <family val="2"/>
        <scheme val="minor"/>
      </rPr>
      <t>Are production code deployments automated using CI/CD pipelines instead of manual updates?</t>
    </r>
    <r>
      <rPr>
        <i/>
        <sz val="10"/>
        <color theme="1"/>
        <rFont val="Calibri"/>
        <family val="2"/>
        <scheme val="minor"/>
      </rPr>
      <t xml:space="preserve">
A) Manual Deployments: Engineers deploy code updates manually by logging into production systems and copying files, resulting in frequent human errors and extended downtime.
B) Scheduled Release Windows: Code deployments are partially automated but are bundled into high-risk, multi-week release events that require massive manual approval meetings.
C) Fully Automated CI/CD: All software changes flow through automated Continuous Integration and Continuous Deployment (CI/CD) pipelines, moving from code updates to production in minutes with zero manual effort.
D) Continuous Progressive Delivery: Features are deployed safely using canary releases or feature flags, automatically exposing new code to small groups of users first and rolling back instantly if errors occur.</t>
    </r>
  </si>
  <si>
    <r>
      <t xml:space="preserve">(Incident &amp; Problem Management)
</t>
    </r>
    <r>
      <rPr>
        <sz val="10"/>
        <color theme="1"/>
        <rFont val="Aptos"/>
        <family val="2"/>
      </rPr>
      <t xml:space="preserve">Measures your day-to-day management, observability, and service reliability in a cloud environment. </t>
    </r>
  </si>
  <si>
    <r>
      <rPr>
        <b/>
        <i/>
        <u/>
        <sz val="10"/>
        <color theme="1"/>
        <rFont val="Calibri"/>
        <family val="2"/>
        <scheme val="minor"/>
      </rPr>
      <t>Are operational incidents automatically routed, resolved, and investigated via root-cause analysis (RCA)?</t>
    </r>
    <r>
      <rPr>
        <i/>
        <sz val="10"/>
        <color theme="1"/>
        <rFont val="Calibri"/>
        <family val="2"/>
        <scheme val="minor"/>
      </rPr>
      <t xml:space="preserve">
A) Chaos Response: Production incidents are managed via uncoordinated chat channels; root-cause analysis is rarely done, so the same technical issues happen repeatedly.
B) Ticket Routing: Incidents are captured in a central ticketing tool and assigned to teams manually, but fixing problems takes a long time due to poor visibility across systems.
C) Blameless RCA Pipeline: Incidents trigger automated alerts to on-call engineers; every high-priority outage is followed by a formal, blameless root-cause analysis to implement permanent code fixes.
D) AIOps Self-Remediation: Artificial intelligence systems identify patterns across incoming infrastructure incidents, automatically executing scripts to fix known software issues without requiring human intervention.</t>
    </r>
  </si>
  <si>
    <r>
      <t xml:space="preserve">(Business Continuity &amp; Disaster Recovery (BCDR))
</t>
    </r>
    <r>
      <rPr>
        <sz val="10"/>
        <color theme="1"/>
        <rFont val="Aptos"/>
        <family val="2"/>
      </rPr>
      <t xml:space="preserve">Measures your day-to-day management, observability, and service reliability in a cloud environment. </t>
    </r>
  </si>
  <si>
    <r>
      <t xml:space="preserve">(Service Desk Integration)
</t>
    </r>
    <r>
      <rPr>
        <sz val="10"/>
        <color theme="1"/>
        <rFont val="Aptos"/>
        <family val="2"/>
      </rPr>
      <t xml:space="preserve">Measures your day-to-day management, observability, and service reliability in a cloud environment. </t>
    </r>
  </si>
  <si>
    <r>
      <rPr>
        <b/>
        <i/>
        <u/>
        <sz val="10"/>
        <color theme="1"/>
        <rFont val="Calibri"/>
        <family val="2"/>
        <scheme val="minor"/>
      </rPr>
      <t>How well do cloud monitoring systems sync with your enterprise IT Service Management (ITSM) ticketing tools?</t>
    </r>
    <r>
      <rPr>
        <i/>
        <sz val="10"/>
        <color theme="1"/>
        <rFont val="Calibri"/>
        <family val="2"/>
        <scheme val="minor"/>
      </rPr>
      <t xml:space="preserve">
A) Disconnected Worlds: Cloud monitoring systems operate in complete isolation from our legacy corporate IT Service Management (ITSM) ticketing tools.
B) Manual Ticket Copying: When cloud monitoring systems flag an infrastructure error, engineers must manually log into the corporate service desk to type out a ticket for support teams.
C) Automated Tool Syncing: Cloud alerts plug directly into our ITSM tools, automatically creating, routing, and closing technical support incident tickets based on system health logs.
D) Unified ChatOps Ecosystem: System health monitors, ticketing tools, and deployment pipelines are fully unified into our chat platforms, allowing teams to manage incidents through natural collaboration tools</t>
    </r>
  </si>
  <si>
    <r>
      <rPr>
        <b/>
        <i/>
        <u/>
        <sz val="10"/>
        <color theme="1"/>
        <rFont val="Calibri"/>
        <family val="2"/>
        <scheme val="minor"/>
      </rPr>
      <t>Are your automated backup and multi-region failover strategies tested regularly to meet strict RTO/RPO targets?</t>
    </r>
    <r>
      <rPr>
        <i/>
        <sz val="10"/>
        <color theme="1"/>
        <rFont val="Calibri"/>
        <family val="2"/>
        <scheme val="minor"/>
      </rPr>
      <t xml:space="preserve">
A) Hope-Based Recovery: Backups are configured inconsistently or not at all; we have never attempted to restore our systems from a total server failure, and recovery timelines are completely unknown.
B) Untested Manual Backups: We take regular snapshots of our databases and servers, but restoring those systems requires manual setups, and recovery exercises are rarely practiced.
C) Automated Multi-Region Failover: Data is replicated automatically across multiple geographic zones; our disaster recovery plans are verified regularly via automated testing to meet tight RTO and RPO targets.
D) Continuous Chaos Engineering: We deliberately inject random server failures into our live production systems using automated tools to prove that our infrastructure can heal itself instantly without human assistance.
</t>
    </r>
  </si>
  <si>
    <r>
      <t xml:space="preserve">(Capacity Planning)
</t>
    </r>
    <r>
      <rPr>
        <sz val="10"/>
        <color theme="1"/>
        <rFont val="Aptos"/>
        <family val="2"/>
      </rPr>
      <t xml:space="preserve">Measures your day-to-day management, observability, and service reliability in a cloud environment. </t>
    </r>
  </si>
  <si>
    <r>
      <rPr>
        <b/>
        <i/>
        <u/>
        <sz val="10"/>
        <color theme="1"/>
        <rFont val="Calibri"/>
        <family val="2"/>
        <scheme val="minor"/>
      </rPr>
      <t>Does your team use automated demand forecasting rather than buying fixed, upfront infrastructure headroom?</t>
    </r>
    <r>
      <rPr>
        <i/>
        <sz val="10"/>
        <color theme="1"/>
        <rFont val="Calibri"/>
        <family val="2"/>
        <scheme val="minor"/>
      </rPr>
      <t xml:space="preserve">
A) Guesswork Allocation: We provision cloud capacity based on historical on-premises hardware volumes, resulting in massive over-provisioning and wasted budget.
B) Periodic Manual Reviews: Engineers look at cloud capacity dashboards once a quarter to adjust server sizes manually based on past peak workloads.
C) Automated Dynamic Scaling: Infrastructure capacity expands and contracts automatically based on real-time application load metrics, matching capacity to actual customer demand.
D) Algorithmic Demand Forecasting: Advanced predictive algorithms analyze market cycles, business expansion patterns, and seasonal trends to purchase optimal cloud capacity reservations automatically.</t>
    </r>
  </si>
  <si>
    <t>Critical Blockers &amp; Risk Mitigation States (States 1 – 3)</t>
  </si>
  <si>
    <r>
      <rPr>
        <b/>
        <u/>
        <sz val="14"/>
        <color theme="1"/>
        <rFont val="Calibri"/>
        <family val="2"/>
        <scheme val="minor"/>
      </rPr>
      <t>STATE 1: System Retirement Phase</t>
    </r>
    <r>
      <rPr>
        <sz val="14"/>
        <color theme="1"/>
        <rFont val="Calibri"/>
        <family val="2"/>
        <scheme val="minor"/>
      </rPr>
      <t xml:space="preserve">
</t>
    </r>
    <r>
      <rPr>
        <u/>
        <sz val="14"/>
        <color theme="1"/>
        <rFont val="Calibri"/>
        <family val="2"/>
        <scheme val="minor"/>
      </rPr>
      <t>Business Explanation:</t>
    </r>
    <r>
      <rPr>
        <sz val="14"/>
        <color theme="1"/>
        <rFont val="Calibri"/>
        <family val="2"/>
        <scheme val="minor"/>
      </rPr>
      <t xml:space="preserve"> The workload or operational pattern being assessed is nearing the end of its corporate lifecycle and will be decommissioned within 12 months. Spending capital to migrate or modernize this system is a direct loss of budget.
</t>
    </r>
    <r>
      <rPr>
        <u/>
        <sz val="14"/>
        <color theme="1"/>
        <rFont val="Calibri"/>
        <family val="2"/>
        <scheme val="minor"/>
      </rPr>
      <t xml:space="preserve">
Actionable Next Steps</t>
    </r>
    <r>
      <rPr>
        <sz val="14"/>
        <color theme="1"/>
        <rFont val="Calibri"/>
        <family val="2"/>
        <scheme val="minor"/>
      </rPr>
      <t>:
Freeze Budgets: Immediately halt all cloud architecture, design, and engineering hours allocated to this asset.
Sweeping Review: Divert saved cloud credits to high-growth target systems.
Document Legacy Knowledge: Archive essential logs and data patterns for historical tracking before the final shutdown.</t>
    </r>
  </si>
  <si>
    <r>
      <rPr>
        <b/>
        <u/>
        <sz val="14"/>
        <color theme="1"/>
        <rFont val="Calibri"/>
        <family val="2"/>
        <scheme val="minor"/>
      </rPr>
      <t>STATE 2: Critical Capability Collapse</t>
    </r>
    <r>
      <rPr>
        <sz val="14"/>
        <color theme="1"/>
        <rFont val="Calibri"/>
        <family val="2"/>
        <scheme val="minor"/>
      </rPr>
      <t xml:space="preserve">
</t>
    </r>
    <r>
      <rPr>
        <u/>
        <sz val="14"/>
        <color theme="1"/>
        <rFont val="Calibri"/>
        <family val="2"/>
        <scheme val="minor"/>
      </rPr>
      <t xml:space="preserve">Business Explanation: </t>
    </r>
    <r>
      <rPr>
        <sz val="14"/>
        <color theme="1"/>
        <rFont val="Calibri"/>
        <family val="2"/>
        <scheme val="minor"/>
      </rPr>
      <t xml:space="preserve">The organization suffers from widespread structural deficits across all operational domains. Migrating to the cloud right now will guarantee catastrophic cost spikes, team burnout, and operational failure.
</t>
    </r>
    <r>
      <rPr>
        <u/>
        <sz val="14"/>
        <color theme="1"/>
        <rFont val="Calibri"/>
        <family val="2"/>
        <scheme val="minor"/>
      </rPr>
      <t>Actionable Next Steps:</t>
    </r>
    <r>
      <rPr>
        <sz val="14"/>
        <color theme="1"/>
        <rFont val="Calibri"/>
        <family val="2"/>
        <scheme val="minor"/>
      </rPr>
      <t xml:space="preserve">
Impose an Absolute Infrastructure Freeze: Do not spin up production resources.
Inject External Experts: Subcontract specialized Managed Service Providers (MSPs) to build baseline platforms while your internal team upskills.
Deploy Emergency Governance: Mandate a single, centralized procurement lock on all corporate cloud account creations.</t>
    </r>
  </si>
  <si>
    <r>
      <rPr>
        <b/>
        <u/>
        <sz val="14"/>
        <color theme="1"/>
        <rFont val="Calibri"/>
        <family val="2"/>
        <scheme val="minor"/>
      </rPr>
      <t>STATE 3: Restructure &amp; Remediate (Legacy Operating Model)</t>
    </r>
    <r>
      <rPr>
        <sz val="14"/>
        <color theme="1"/>
        <rFont val="Calibri"/>
        <family val="2"/>
        <scheme val="minor"/>
      </rPr>
      <t xml:space="preserve">
</t>
    </r>
    <r>
      <rPr>
        <u/>
        <sz val="14"/>
        <color theme="1"/>
        <rFont val="Calibri"/>
        <family val="2"/>
        <scheme val="minor"/>
      </rPr>
      <t xml:space="preserve">Business Explanation: </t>
    </r>
    <r>
      <rPr>
        <sz val="14"/>
        <color theme="1"/>
        <rFont val="Calibri"/>
        <family val="2"/>
        <scheme val="minor"/>
      </rPr>
      <t xml:space="preserve">The company is operating with an outdated, fragmented IT mindset. 
Teams are working in tight silos, utilizing manual infrastructure setups, and lacking unified cloud guidelines.
</t>
    </r>
    <r>
      <rPr>
        <u/>
        <sz val="14"/>
        <color theme="1"/>
        <rFont val="Calibri"/>
        <family val="2"/>
        <scheme val="minor"/>
      </rPr>
      <t xml:space="preserve">Actionable Next Steps:
</t>
    </r>
    <r>
      <rPr>
        <sz val="14"/>
        <color theme="1"/>
        <rFont val="Calibri"/>
        <family val="2"/>
        <scheme val="minor"/>
      </rPr>
      <t>Launch a Core CCoE: Authorize a dedicated cross-functional Cloud Center of Excellence (CCoE) with representatives from Security, Finance, Operations, and Architecture.
Establish Cloud Onboarding Tracks: Design basic cloud literacy pathways across different departments.
Centralize Landing Zone Design: Restrict individual teams from manual console access.</t>
    </r>
  </si>
  <si>
    <t xml:space="preserve"> Domain-Specific Deficit Alerts (States 4 – 8)</t>
  </si>
  <si>
    <r>
      <rPr>
        <b/>
        <u/>
        <sz val="14"/>
        <color theme="1"/>
        <rFont val="Calibri"/>
        <family val="2"/>
        <scheme val="minor"/>
      </rPr>
      <t xml:space="preserve">STATE 5: FinOps Budgetary Alert
</t>
    </r>
    <r>
      <rPr>
        <u/>
        <sz val="14"/>
        <color theme="1"/>
        <rFont val="Calibri"/>
        <family val="2"/>
        <scheme val="minor"/>
      </rPr>
      <t>Business Explanation:</t>
    </r>
    <r>
      <rPr>
        <sz val="14"/>
        <color theme="1"/>
        <rFont val="Calibri"/>
        <family val="2"/>
        <scheme val="minor"/>
      </rPr>
      <t xml:space="preserve"> 
Cloud spending is reactive and unmonitored. 
The business is at high risk for unexpected, massive monthly cloud bill shocks due to untagged systems and orphan resources.
</t>
    </r>
    <r>
      <rPr>
        <u/>
        <sz val="14"/>
        <color theme="1"/>
        <rFont val="Calibri"/>
        <family val="2"/>
        <scheme val="minor"/>
      </rPr>
      <t xml:space="preserve">Actionable Next Steps:
</t>
    </r>
    <r>
      <rPr>
        <sz val="14"/>
        <color theme="1"/>
        <rFont val="Calibri"/>
        <family val="2"/>
        <scheme val="minor"/>
      </rPr>
      <t>Enforce a Tagging Standard: Build automated pipelines that reject the creation of any cloud resource that lacks owner or project cost tags.
Configure Cloud Anomalies Detectors: Sync immediate alerts to communication channels (Slack/Teams) when cost spikes happen.
Establish Monthly FinOps Cadences: Mandate a recurring financial alignment review between engineering leads and finance.</t>
    </r>
  </si>
  <si>
    <r>
      <rPr>
        <b/>
        <u/>
        <sz val="14"/>
        <color theme="1"/>
        <rFont val="Calibri"/>
        <family val="2"/>
        <scheme val="minor"/>
      </rPr>
      <t xml:space="preserve">STATE 4: Security Landing Zone Block </t>
    </r>
    <r>
      <rPr>
        <sz val="14"/>
        <color theme="1"/>
        <rFont val="Calibri"/>
        <family val="2"/>
        <scheme val="minor"/>
      </rPr>
      <t xml:space="preserve">
</t>
    </r>
    <r>
      <rPr>
        <u/>
        <sz val="14"/>
        <color theme="1"/>
        <rFont val="Calibri"/>
        <family val="2"/>
        <scheme val="minor"/>
      </rPr>
      <t xml:space="preserve">Business Explanation: </t>
    </r>
    <r>
      <rPr>
        <sz val="14"/>
        <color theme="1"/>
        <rFont val="Calibri"/>
        <family val="2"/>
        <scheme val="minor"/>
      </rPr>
      <t xml:space="preserve">
The technical team understands general cloud concepts, but the corporate cloud footprint lacks enterprise guardrails. Identity controls (IAM), perimeter protection, and automated encryption are missing or weak.
</t>
    </r>
    <r>
      <rPr>
        <u/>
        <sz val="14"/>
        <color theme="1"/>
        <rFont val="Calibri"/>
        <family val="2"/>
        <scheme val="minor"/>
      </rPr>
      <t>Actionable Next Steps:</t>
    </r>
    <r>
      <rPr>
        <sz val="14"/>
        <color theme="1"/>
        <rFont val="Calibri"/>
        <family val="2"/>
        <scheme val="minor"/>
      </rPr>
      <t xml:space="preserve">
Deploy Policy-as-Code Guardrails:  Activate tools like AWS Control Tower or Azure Blueprints to enforce mandatory multi-factor authentication (MFA).
Lock Down API Integrity: Run automated credential rotations and enforce end-to-end data encryption rules across all storage tiers.
Enact Ingress/Egress Controls: Funnel all cloud traffic through centralized web application firewalls (WAF).</t>
    </r>
  </si>
  <si>
    <r>
      <rPr>
        <b/>
        <u/>
        <sz val="14"/>
        <color theme="1"/>
        <rFont val="Calibri"/>
        <family val="2"/>
        <scheme val="minor"/>
      </rPr>
      <t xml:space="preserve">STATE 6: Technical Debt Saturation
</t>
    </r>
    <r>
      <rPr>
        <u/>
        <sz val="14"/>
        <color theme="1"/>
        <rFont val="Calibri"/>
        <family val="2"/>
        <scheme val="minor"/>
      </rPr>
      <t xml:space="preserve">Business Explanation: 
</t>
    </r>
    <r>
      <rPr>
        <sz val="14"/>
        <color theme="1"/>
        <rFont val="Calibri"/>
        <family val="2"/>
        <scheme val="minor"/>
      </rPr>
      <t xml:space="preserve">A dual infrastructure and operations deficit. 
Software development pipelines are manual and resource health tracking is blind, leading to extended downtime risks.
</t>
    </r>
    <r>
      <rPr>
        <u/>
        <sz val="14"/>
        <color theme="1"/>
        <rFont val="Calibri"/>
        <family val="2"/>
        <scheme val="minor"/>
      </rPr>
      <t xml:space="preserve">Actionable Next Steps: 
</t>
    </r>
    <r>
      <rPr>
        <sz val="14"/>
        <color theme="1"/>
        <rFont val="Calibri"/>
        <family val="2"/>
        <scheme val="minor"/>
      </rPr>
      <t>Mandate Infrastructure as Code (IaC): Ban manual cloud console configurations; deploy all infrastructure using version-controlled templates (Terraform/Bicep).
Deploy Unified Telemetry Hubs: Consolidate distributed infrastructure logs into a centralized dashboard (Datadog, AWS CloudWatch, or Azure Monitor).
Automate CI/CD Checkpoints: Standardize build cycles with automated code quality validation.</t>
    </r>
  </si>
  <si>
    <r>
      <rPr>
        <b/>
        <u/>
        <sz val="14"/>
        <color theme="1"/>
        <rFont val="Calibri"/>
        <family val="2"/>
        <scheme val="minor"/>
      </rPr>
      <t xml:space="preserve">STATE 7: Organizational Resistance Anomaly
</t>
    </r>
    <r>
      <rPr>
        <u/>
        <sz val="14"/>
        <color theme="1"/>
        <rFont val="Calibri"/>
        <family val="2"/>
        <scheme val="minor"/>
      </rPr>
      <t xml:space="preserve">Business Explanation: 
</t>
    </r>
    <r>
      <rPr>
        <sz val="14"/>
        <color theme="1"/>
        <rFont val="Calibri"/>
        <family val="2"/>
        <scheme val="minor"/>
      </rPr>
      <t xml:space="preserve">The technology is viable, but the human element is lagging. Corporate change acceleration, executive alignment, and training tracks are failing, causing silent team sabotage.
</t>
    </r>
    <r>
      <rPr>
        <u/>
        <sz val="14"/>
        <color theme="1"/>
        <rFont val="Calibri"/>
        <family val="2"/>
        <scheme val="minor"/>
      </rPr>
      <t xml:space="preserve">Actionable Next Steps: 
</t>
    </r>
    <r>
      <rPr>
        <sz val="14"/>
        <color theme="1"/>
        <rFont val="Calibri"/>
        <family val="2"/>
        <scheme val="minor"/>
      </rPr>
      <t>Host Leadership Alignment Seminars: Secure visible, active sponsorship from senior executives.
Launch a Cloud Champion Guild: Empower internal technical champions to run peer-to-peer mentoring lunch-and-learns.
Address Job-Role Friction: Update outdated IT job descriptions to modern cloud engineering definitions to clear employee anxiety.</t>
    </r>
  </si>
  <si>
    <r>
      <rPr>
        <b/>
        <u/>
        <sz val="14"/>
        <color theme="1"/>
        <rFont val="Calibri"/>
        <family val="2"/>
        <scheme val="minor"/>
      </rPr>
      <t xml:space="preserve">STATE 8: Strategic Alignment Disconnect
</t>
    </r>
    <r>
      <rPr>
        <u/>
        <sz val="14"/>
        <color theme="1"/>
        <rFont val="Calibri"/>
        <family val="2"/>
        <scheme val="minor"/>
      </rPr>
      <t xml:space="preserve">Business Explanation: 
</t>
    </r>
    <r>
      <rPr>
        <sz val="14"/>
        <color theme="1"/>
        <rFont val="Calibri"/>
        <family val="2"/>
        <scheme val="minor"/>
      </rPr>
      <t xml:space="preserve">The technical team is building cloud infrastructure in a silo, completely detached from the company’s commercial roadmap, product strategies, or financial metrics.
</t>
    </r>
    <r>
      <rPr>
        <u/>
        <sz val="14"/>
        <color theme="1"/>
        <rFont val="Calibri"/>
        <family val="2"/>
        <scheme val="minor"/>
      </rPr>
      <t xml:space="preserve">
Actionable Next Steps:
</t>
    </r>
    <r>
      <rPr>
        <sz val="14"/>
        <color theme="1"/>
        <rFont val="Calibri"/>
        <family val="2"/>
        <scheme val="minor"/>
      </rPr>
      <t>Re-anchor the Business Case: Quantify migration targets based on strategic goals (like faster feature release speeds) rather than simple server cost comparisons.
Embed Product Owners into IT Sprints: Assign business leads to participate directly in development design phases.
Formulate Value Dashboards: Build executive reporting metrics connecting IT spend directly to business transaction gains.</t>
    </r>
  </si>
  <si>
    <t>Maturity Optimization Tiers (States 9 – 14)</t>
  </si>
  <si>
    <r>
      <rPr>
        <b/>
        <u/>
        <sz val="14"/>
        <color theme="1"/>
        <rFont val="Calibri"/>
        <family val="2"/>
        <scheme val="minor"/>
      </rPr>
      <t xml:space="preserve">STATE 9: Ultralight Composable Mesh
</t>
    </r>
    <r>
      <rPr>
        <u/>
        <sz val="14"/>
        <color theme="1"/>
        <rFont val="Calibri"/>
        <family val="2"/>
        <scheme val="minor"/>
      </rPr>
      <t>Business Explanation:</t>
    </r>
    <r>
      <rPr>
        <sz val="14"/>
        <color theme="1"/>
        <rFont val="Calibri"/>
        <family val="2"/>
        <scheme val="minor"/>
      </rPr>
      <t xml:space="preserve"> 
The absolute gold standard of enterprise agility. The organization runs an evenly distributed, secure multi-cloud footprint with zero operational dependencies or performance lags.
</t>
    </r>
    <r>
      <rPr>
        <u/>
        <sz val="14"/>
        <color theme="1"/>
        <rFont val="Calibri"/>
        <family val="2"/>
        <scheme val="minor"/>
      </rPr>
      <t>Actionable Next Steps:</t>
    </r>
    <r>
      <rPr>
        <sz val="14"/>
        <color theme="1"/>
        <rFont val="Calibri"/>
        <family val="2"/>
        <scheme val="minor"/>
      </rPr>
      <t xml:space="preserve">
Pioneer Advanced Architectures: Migrate legacy transactional logic toward distributed database meshes.
Leverage Cross-Cloud Redundancy: Deploy global anycast routing networks to execute zero-downtime cross-region system failovers.
Contribute to Open Source: Document internal platform wins to build a top-tier employer engineering brand.</t>
    </r>
  </si>
  <si>
    <r>
      <rPr>
        <b/>
        <u/>
        <sz val="14"/>
        <color theme="1"/>
        <rFont val="Calibri"/>
        <family val="2"/>
        <scheme val="minor"/>
      </rPr>
      <t>STATE 10: Federated Decentralized Platform</t>
    </r>
    <r>
      <rPr>
        <sz val="14"/>
        <color theme="1"/>
        <rFont val="Calibri"/>
        <family val="2"/>
        <scheme val="minor"/>
      </rPr>
      <t xml:space="preserve">
</t>
    </r>
    <r>
      <rPr>
        <u/>
        <sz val="14"/>
        <color theme="1"/>
        <rFont val="Calibri"/>
        <family val="2"/>
        <scheme val="minor"/>
      </rPr>
      <t>Business Explanation:</t>
    </r>
    <r>
      <rPr>
        <sz val="14"/>
        <color theme="1"/>
        <rFont val="Calibri"/>
        <family val="2"/>
        <scheme val="minor"/>
      </rPr>
      <t xml:space="preserve"> 
High corporate maturity. The central cloud team has successfully shifted from a gatekeeper model to an enablement platform. Product teams can safely scale software autonomously.
</t>
    </r>
    <r>
      <rPr>
        <u/>
        <sz val="14"/>
        <color theme="1"/>
        <rFont val="Calibri"/>
        <family val="2"/>
        <scheme val="minor"/>
      </rPr>
      <t xml:space="preserve">Actionable Next Steps:
</t>
    </r>
    <r>
      <rPr>
        <sz val="14"/>
        <color theme="1"/>
        <rFont val="Calibri"/>
        <family val="2"/>
        <scheme val="minor"/>
      </rPr>
      <t>Optimize Internal Developer Portals: Package pre-approved cloud architectures into simple, single-click developer service catalogs.
Scale Unit Economics Analytics: Dynamically track real-time infrastructure cost metrics per single customer transaction.
Refine Edge Automated Remediation: Authorize algorithms to self-heal platform drifts and clear security vulnerabilities automatically.</t>
    </r>
  </si>
  <si>
    <r>
      <rPr>
        <b/>
        <u/>
        <sz val="14"/>
        <color theme="1"/>
        <rFont val="Calibri"/>
        <family val="2"/>
        <scheme val="minor"/>
      </rPr>
      <t xml:space="preserve">STATE 11: Accelerated Central CCoE
</t>
    </r>
    <r>
      <rPr>
        <u/>
        <sz val="14"/>
        <color theme="1"/>
        <rFont val="Calibri"/>
        <family val="2"/>
        <scheme val="minor"/>
      </rPr>
      <t>Business Explanation:</t>
    </r>
    <r>
      <rPr>
        <sz val="14"/>
        <color theme="1"/>
        <rFont val="Calibri"/>
        <family val="2"/>
        <scheme val="minor"/>
      </rPr>
      <t xml:space="preserve"> 
The organization has a highly functional Cloud Center of Excellence driving adoption. Foundational multi-account architectures are stable, and teams are onboarding cleanly.
</t>
    </r>
    <r>
      <rPr>
        <u/>
        <sz val="14"/>
        <color theme="1"/>
        <rFont val="Calibri"/>
        <family val="2"/>
        <scheme val="minor"/>
      </rPr>
      <t xml:space="preserve">Actionable Next Steps:
</t>
    </r>
    <r>
      <rPr>
        <sz val="14"/>
        <color theme="1"/>
        <rFont val="Calibri"/>
        <family val="2"/>
        <scheme val="minor"/>
      </rPr>
      <t>Transition from Migration to Optimization: Pivot engineering goals away from rapid cloud onboarding and toward fine-tuning compute density.
Establish Advanced Specialized Training: Transition the general IT workforce toward deep, advanced cloud specialty certifications (Data, AI, Security).
Standardize Shared Services Mesh: Centralize corporate traffic controls to lower network transit costs.</t>
    </r>
  </si>
  <si>
    <r>
      <rPr>
        <b/>
        <u/>
        <sz val="14"/>
        <color theme="1"/>
        <rFont val="Calibri"/>
        <family val="2"/>
        <scheme val="minor"/>
      </rPr>
      <t xml:space="preserve">STATE 12: Operational Core Established
</t>
    </r>
    <r>
      <rPr>
        <u/>
        <sz val="14"/>
        <color theme="1"/>
        <rFont val="Calibri"/>
        <family val="2"/>
        <scheme val="minor"/>
      </rPr>
      <t xml:space="preserve">Business Explanation: 
</t>
    </r>
    <r>
      <rPr>
        <sz val="14"/>
        <color theme="1"/>
        <rFont val="Calibri"/>
        <family val="2"/>
        <scheme val="minor"/>
      </rPr>
      <t xml:space="preserve">Standard baseline adoption. The enterprise has stable virtual machine configurations and basic security logging, but relies heavily on manual oversight to adjust capacity.
</t>
    </r>
    <r>
      <rPr>
        <u/>
        <sz val="14"/>
        <color theme="1"/>
        <rFont val="Calibri"/>
        <family val="2"/>
        <scheme val="minor"/>
      </rPr>
      <t xml:space="preserve">Actionable Next Steps:
</t>
    </r>
    <r>
      <rPr>
        <sz val="14"/>
        <color theme="1"/>
        <rFont val="Calibri"/>
        <family val="2"/>
        <scheme val="minor"/>
      </rPr>
      <t>Implement Automated Scaling Controls: Configure infrastructure parameters to expand and contract dynamically based on real-time traffic curves.
Audit Database Layouts: Migrate high-maintenance databases onto fully managed, serverless database instances (AWS RDS or Azure SQL).
Consolidate Commitments: Maximize cloud provider savings by locking in targeted, multi-year Compute Savings Plans.</t>
    </r>
  </si>
  <si>
    <r>
      <rPr>
        <b/>
        <u/>
        <sz val="14"/>
        <color theme="1"/>
        <rFont val="Calibri"/>
        <family val="2"/>
        <scheme val="minor"/>
      </rPr>
      <t xml:space="preserve">STATE 13: Siloed Tactical Prototyping
</t>
    </r>
    <r>
      <rPr>
        <u/>
        <sz val="14"/>
        <color theme="1"/>
        <rFont val="Calibri"/>
        <family val="2"/>
        <scheme val="minor"/>
      </rPr>
      <t>Business Explanation:</t>
    </r>
    <r>
      <rPr>
        <sz val="14"/>
        <color theme="1"/>
        <rFont val="Calibri"/>
        <family val="2"/>
        <scheme val="minor"/>
      </rPr>
      <t xml:space="preserve"> 
Cloud usage is fragmented. Individual business departments are testing or deploying software in independent cloud sandboxes without centralized security supervision or shared billing standards.
</t>
    </r>
    <r>
      <rPr>
        <u/>
        <sz val="14"/>
        <color theme="1"/>
        <rFont val="Calibri"/>
        <family val="2"/>
        <scheme val="minor"/>
      </rPr>
      <t xml:space="preserve">Actionable Next Steps:
</t>
    </r>
    <r>
      <rPr>
        <sz val="14"/>
        <color theme="1"/>
        <rFont val="Calibri"/>
        <family val="2"/>
        <scheme val="minor"/>
      </rPr>
      <t>Conduct a Discovery Pass: Identify and catalogue all shadow-IT cloud accounts across corporate credit cards.
Enforce Central Organizational Parent Roots: Pull scattered accounts under a single master organization structure (AWS Organizations or Azure Management Groups).
Draft a Master Baseline Landing Zone Blueprint: Enforce standard corporate firewall rules across all discovered zones.</t>
    </r>
  </si>
  <si>
    <r>
      <rPr>
        <b/>
        <u/>
        <sz val="14"/>
        <color theme="1"/>
        <rFont val="Calibri"/>
        <family val="2"/>
        <scheme val="minor"/>
      </rPr>
      <t xml:space="preserve">STATE 14: Chaotic Ad-Hoc Deployment
</t>
    </r>
    <r>
      <rPr>
        <u/>
        <sz val="14"/>
        <color theme="1"/>
        <rFont val="Calibri"/>
        <family val="2"/>
        <scheme val="minor"/>
      </rPr>
      <t xml:space="preserve">Business Explanation: 
</t>
    </r>
    <r>
      <rPr>
        <sz val="14"/>
        <color theme="1"/>
        <rFont val="Calibri"/>
        <family val="2"/>
        <scheme val="minor"/>
      </rPr>
      <t xml:space="preserve">Initial reactive operational footprint. Cloud services are launched haphazardly via the console, lacking audit trails, secure perimeters, or budget allocations.
</t>
    </r>
    <r>
      <rPr>
        <u/>
        <sz val="14"/>
        <color theme="1"/>
        <rFont val="Calibri"/>
        <family val="2"/>
        <scheme val="minor"/>
      </rPr>
      <t xml:space="preserve">Actionable Next Steps:
</t>
    </r>
    <r>
      <rPr>
        <sz val="14"/>
        <color theme="1"/>
        <rFont val="Calibri"/>
        <family val="2"/>
        <scheme val="minor"/>
      </rPr>
      <t>Enact an Expansion Freeze: Immediately restrict the deployment of new production services.
Run a Comprehensive Security Clean-Up: Eliminate public internet access configurations from databases and rotate standing administration access credentials.
Deploy Basic Cost Alerts: Set hard threshold limits via cloud budget tools to prevent unexpected invoices.</t>
    </r>
  </si>
  <si>
    <t>Operational Fallback State (State 15)</t>
  </si>
  <si>
    <r>
      <rPr>
        <b/>
        <u/>
        <sz val="14"/>
        <color theme="1"/>
        <rFont val="Calibri"/>
        <family val="2"/>
        <scheme val="minor"/>
      </rPr>
      <t xml:space="preserve">STATE 15: Invalid Maturity Range
</t>
    </r>
    <r>
      <rPr>
        <sz val="14"/>
        <color theme="1"/>
        <rFont val="Calibri"/>
        <family val="2"/>
        <scheme val="minor"/>
      </rPr>
      <t xml:space="preserve">
</t>
    </r>
    <r>
      <rPr>
        <u/>
        <sz val="14"/>
        <color theme="1"/>
        <rFont val="Calibri"/>
        <family val="2"/>
        <scheme val="minor"/>
      </rPr>
      <t>Business Explanation:</t>
    </r>
    <r>
      <rPr>
        <sz val="14"/>
        <color theme="1"/>
        <rFont val="Calibri"/>
        <family val="2"/>
        <scheme val="minor"/>
      </rPr>
      <t xml:space="preserve"> 
The survey data input is corrupt or inconsistent. The mathematical parameters evaluate to non-standard indices, rendering the strategy recommendation invalid.
</t>
    </r>
    <r>
      <rPr>
        <u/>
        <sz val="14"/>
        <color theme="1"/>
        <rFont val="Calibri"/>
        <family val="2"/>
        <scheme val="minor"/>
      </rPr>
      <t xml:space="preserve">Actionable Next Steps:
</t>
    </r>
    <r>
      <rPr>
        <sz val="14"/>
        <color theme="1"/>
        <rFont val="Calibri"/>
        <family val="2"/>
        <scheme val="minor"/>
      </rPr>
      <t>Audit Workbook Entries: Verify that all 40 capability fields in Column D contain exact A, B, C, or D entries.
Fix Range References: Confirm that cell formulas on the Dashboard sheet are aligned to row boundaries.
Re-initialize Sheet: Reset missing fields to a baseline option to restore the rules engine logic.</t>
    </r>
  </si>
  <si>
    <t>Result</t>
  </si>
  <si>
    <t>States</t>
  </si>
  <si>
    <t>© 2026 Amit Kulkarni All rights reserved</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</si>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</sst>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sz val="14"/>
      <color theme="1"/>
      <name val="Calibri"/>
      <family val="2"/>
      <scheme val="minor"/>
    </font>
    <font>
      <sz val="12"/>
      <color theme="1"/>
      <name val="Calibri"/>
      <family val="2"/>
      <scheme val="minor"/>
    </font>
    <font>
      <sz val="10"/>
      <color theme="1"/>
      <name val="Calibri"/>
      <family val="2"/>
      <scheme val="minor"/>
    </font>
    <font>
      <b/>
      <sz val="16"/>
      <color theme="1"/>
      <name val="Calibri"/>
      <family val="2"/>
      <scheme val="minor"/>
    </font>
    <font>
      <i/>
      <sz val="11"/>
      <color theme="1"/>
      <name val="Calibri"/>
      <family val="2"/>
      <scheme val="minor"/>
    </font>
    <font>
      <i/>
      <sz val="10"/>
      <color theme="1"/>
      <name val="Calibri"/>
      <family val="2"/>
      <scheme val="minor"/>
    </font>
    <font>
      <b/>
      <i/>
      <u/>
      <sz val="11"/>
      <color theme="1"/>
      <name val="Calibri"/>
      <family val="2"/>
      <scheme val="minor"/>
    </font>
    <font>
      <b/>
      <i/>
      <u/>
      <sz val="10"/>
      <color theme="1"/>
      <name val="Calibri"/>
      <family val="2"/>
      <scheme val="minor"/>
    </font>
    <font>
      <b/>
      <sz val="10"/>
      <color theme="1"/>
      <name val="Aptos"/>
      <family val="2"/>
    </font>
    <font>
      <sz val="10"/>
      <color theme="1"/>
      <name val="Aptos"/>
      <family val="2"/>
    </font>
    <font>
      <b/>
      <u/>
      <sz val="14"/>
      <color theme="1"/>
      <name val="Calibri"/>
      <family val="2"/>
      <scheme val="minor"/>
    </font>
    <font>
      <u/>
      <sz val="14"/>
      <color theme="1"/>
      <name val="Calibri"/>
      <family val="2"/>
      <scheme val="minor"/>
    </font>
    <font>
      <i/>
      <sz val="16"/>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6">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4" fillId="0" borderId="0" xfId="0" applyFont="1" applyAlignment="1">
      <alignment wrapText="1"/>
    </xf>
    <xf numFmtId="0" fontId="4" fillId="0" borderId="0" xfId="0" applyFont="1"/>
    <xf numFmtId="0" fontId="5" fillId="0" borderId="0" xfId="0" applyFont="1" applyAlignment="1">
      <alignment wrapText="1"/>
    </xf>
    <xf numFmtId="0" fontId="6" fillId="0" borderId="0" xfId="0" applyFont="1" applyAlignment="1">
      <alignment wrapText="1"/>
    </xf>
    <xf numFmtId="0" fontId="3" fillId="0" borderId="0" xfId="0" applyFont="1" applyAlignment="1">
      <alignment wrapText="1"/>
    </xf>
    <xf numFmtId="0" fontId="10" fillId="0" borderId="0" xfId="0" applyFont="1" applyAlignment="1">
      <alignment vertical="top" wrapText="1"/>
    </xf>
    <xf numFmtId="0" fontId="10" fillId="0" borderId="0" xfId="0" applyFont="1" applyAlignment="1">
      <alignment vertical="top"/>
    </xf>
    <xf numFmtId="0" fontId="9" fillId="0" borderId="0" xfId="0" applyFont="1" applyAlignment="1">
      <alignment vertical="top" wrapText="1"/>
    </xf>
    <xf numFmtId="0" fontId="13" fillId="0" borderId="0" xfId="0" applyFont="1"/>
    <xf numFmtId="0" fontId="13" fillId="0" borderId="0" xfId="0" applyFont="1" applyAlignment="1">
      <alignment wrapText="1"/>
    </xf>
    <xf numFmtId="0" fontId="1" fillId="0" borderId="0" xfId="0" applyFont="1" applyAlignment="1">
      <alignment vertical="top" wrapText="1"/>
    </xf>
    <xf numFmtId="0" fontId="0" fillId="0" borderId="0" xfId="0" applyAlignment="1">
      <alignment vertical="top"/>
    </xf>
    <xf numFmtId="0" fontId="13" fillId="0" borderId="0" xfId="0" applyFont="1" applyAlignment="1">
      <alignment vertical="top" wrapText="1"/>
    </xf>
    <xf numFmtId="0" fontId="0" fillId="0" borderId="0" xfId="0" applyAlignment="1">
      <alignment vertical="top" wrapText="1"/>
    </xf>
    <xf numFmtId="0" fontId="14" fillId="0" borderId="0" xfId="0" applyFont="1"/>
    <xf numFmtId="0" fontId="14" fillId="0" borderId="0" xfId="0" applyFont="1" applyAlignment="1">
      <alignment wrapText="1"/>
    </xf>
    <xf numFmtId="0" fontId="2" fillId="0" borderId="0" xfId="0" applyFont="1" applyAlignment="1" applyProtection="1">
      <alignment wrapText="1"/>
      <protection locked="0"/>
    </xf>
    <xf numFmtId="0" fontId="0" fillId="0" borderId="0" xfId="0" applyAlignment="1" applyProtection="1">
      <alignment wrapText="1"/>
      <protection locked="0"/>
    </xf>
    <xf numFmtId="164" fontId="2" fillId="0" borderId="0" xfId="0" applyNumberFormat="1" applyFont="1" applyAlignment="1" applyProtection="1">
      <alignment wrapText="1"/>
      <protection hidden="1"/>
    </xf>
    <xf numFmtId="0" fontId="0" fillId="0" borderId="0" xfId="0" applyAlignment="1" applyProtection="1">
      <alignment wrapText="1"/>
      <protection hidden="1"/>
    </xf>
    <xf numFmtId="164" fontId="0" fillId="0" borderId="0" xfId="0" applyNumberFormat="1" applyAlignment="1" applyProtection="1">
      <alignment wrapText="1"/>
      <protection hidden="1"/>
    </xf>
    <xf numFmtId="2" fontId="0" fillId="0" borderId="0" xfId="0" applyNumberFormat="1" applyProtection="1">
      <protection hidden="1"/>
    </xf>
  </cellXfs>
  <cellStyles count="1">
    <cellStyle name="Normal" xfId="0" builtinId="0"/>
  </cellStyles>
  <dxfs count="37">
    <dxf>
      <alignment horizontal="general" vertical="bottom" textRotation="0" wrapText="1" indent="0" justifyLastLine="0" shrinkToFit="0" readingOrder="0"/>
      <protection locked="1" hidden="1"/>
    </dxf>
    <dxf>
      <numFmt numFmtId="164" formatCode="0.0"/>
      <alignment horizontal="general" vertical="bottom" textRotation="0" wrapText="1" indent="0" justifyLastLine="0" shrinkToFit="0" readingOrder="0"/>
      <protection locked="1" hidden="1"/>
    </dxf>
    <dxf>
      <alignment horizontal="general" vertical="bottom" textRotation="0" wrapText="1" indent="0" justifyLastLine="0" shrinkToFit="0" readingOrder="0"/>
      <protection locked="0" hidden="0"/>
    </dxf>
    <dxf>
      <font>
        <color rgb="FF5D6D7E"/>
      </font>
      <fill>
        <patternFill>
          <bgColor rgb="FFEAECEE"/>
        </patternFill>
      </fill>
    </dxf>
    <dxf>
      <font>
        <color rgb="FF78281F"/>
      </font>
      <fill>
        <patternFill>
          <bgColor rgb="FFFADBD8"/>
        </patternFill>
      </fill>
    </dxf>
    <dxf>
      <font>
        <color rgb="FF922B21"/>
      </font>
      <fill>
        <patternFill>
          <bgColor rgb="FFFDEDEC"/>
        </patternFill>
      </fill>
    </dxf>
    <dxf>
      <font>
        <color rgb="FF4A235A"/>
      </font>
      <fill>
        <patternFill>
          <bgColor rgb="FFF5EEF8"/>
        </patternFill>
      </fill>
    </dxf>
    <dxf>
      <font>
        <color rgb="FF7E5109"/>
      </font>
      <fill>
        <patternFill>
          <bgColor rgb="FFFCF3CF"/>
        </patternFill>
      </fill>
    </dxf>
    <dxf>
      <font>
        <color rgb="FF7D6608"/>
      </font>
      <fill>
        <patternFill>
          <bgColor rgb="FFFEF9E7"/>
        </patternFill>
      </fill>
    </dxf>
    <dxf>
      <font>
        <color rgb="FF1B4F72"/>
      </font>
      <fill>
        <patternFill>
          <bgColor rgb="FFEBF5FB"/>
        </patternFill>
      </fill>
    </dxf>
    <dxf>
      <font>
        <color rgb="FF21618C"/>
      </font>
      <fill>
        <patternFill>
          <bgColor rgb="FFEAF2F8"/>
        </patternFill>
      </fill>
    </dxf>
    <dxf>
      <font>
        <color rgb="FF145A32"/>
      </font>
      <fill>
        <patternFill>
          <bgColor rgb="FFD4EFDF"/>
        </patternFill>
      </fill>
    </dxf>
    <dxf>
      <font>
        <color rgb="FF117864"/>
      </font>
      <fill>
        <patternFill>
          <bgColor rgb="FFE8F8F5"/>
        </patternFill>
      </fill>
    </dxf>
    <dxf>
      <font>
        <color rgb="FF196F3D"/>
      </font>
      <fill>
        <patternFill>
          <bgColor rgb="FFEAFAF1"/>
        </patternFill>
      </fill>
    </dxf>
    <dxf>
      <font>
        <color rgb="FF6E2C00"/>
      </font>
      <fill>
        <patternFill>
          <bgColor rgb="FFFEF5E7"/>
        </patternFill>
      </fill>
    </dxf>
    <dxf>
      <font>
        <color rgb="FF4D5656"/>
      </font>
      <fill>
        <patternFill>
          <bgColor rgb="FFF4F6F7"/>
        </patternFill>
      </fill>
    </dxf>
    <dxf>
      <font>
        <color rgb="FF6E2C00"/>
      </font>
      <fill>
        <patternFill>
          <bgColor rgb="FFFBEEE6"/>
        </patternFill>
      </fill>
    </dxf>
    <dxf>
      <font>
        <color rgb="FF7F8C8D"/>
      </font>
      <fill>
        <patternFill>
          <bgColor rgb="FFF2F4F4"/>
        </patternFill>
      </fill>
    </dxf>
    <dxf>
      <font>
        <color rgb="FF5D6D7E"/>
      </font>
      <fill>
        <patternFill>
          <bgColor rgb="FFEAECEE"/>
        </patternFill>
      </fill>
    </dxf>
    <dxf>
      <font>
        <color rgb="FF78281F"/>
      </font>
      <fill>
        <patternFill>
          <bgColor rgb="FFFADBD8"/>
        </patternFill>
      </fill>
    </dxf>
    <dxf>
      <font>
        <color rgb="FF922B21"/>
      </font>
      <fill>
        <patternFill>
          <bgColor rgb="FFFDEDEC"/>
        </patternFill>
      </fill>
    </dxf>
    <dxf>
      <font>
        <color rgb="FF4A235A"/>
      </font>
      <fill>
        <patternFill>
          <bgColor rgb="FFF5EEF8"/>
        </patternFill>
      </fill>
    </dxf>
    <dxf>
      <font>
        <color rgb="FF7E5109"/>
      </font>
      <fill>
        <patternFill>
          <bgColor rgb="FFFCF3CF"/>
        </patternFill>
      </fill>
    </dxf>
    <dxf>
      <font>
        <color rgb="FF7D6608"/>
      </font>
      <fill>
        <patternFill>
          <bgColor rgb="FFFEF9E7"/>
        </patternFill>
      </fill>
    </dxf>
    <dxf>
      <font>
        <color rgb="FF1B4F72"/>
      </font>
      <fill>
        <patternFill>
          <bgColor rgb="FFEBF5FB"/>
        </patternFill>
      </fill>
    </dxf>
    <dxf>
      <font>
        <color rgb="FF21618C"/>
      </font>
      <fill>
        <patternFill>
          <bgColor rgb="FFEAF2F8"/>
        </patternFill>
      </fill>
    </dxf>
    <dxf>
      <font>
        <color rgb="FF145A32"/>
      </font>
      <fill>
        <patternFill>
          <bgColor rgb="FFD4EFDF"/>
        </patternFill>
      </fill>
    </dxf>
    <dxf>
      <font>
        <color rgb="FF117864"/>
      </font>
      <fill>
        <patternFill>
          <bgColor rgb="FFE8F8F5"/>
        </patternFill>
      </fill>
    </dxf>
    <dxf>
      <font>
        <color rgb="FF196F3D"/>
      </font>
      <fill>
        <patternFill>
          <bgColor rgb="FFEAFAF1"/>
        </patternFill>
      </fill>
    </dxf>
    <dxf>
      <font>
        <color rgb="FF6E2C00"/>
      </font>
      <fill>
        <patternFill>
          <bgColor rgb="FFFEF5E7"/>
        </patternFill>
      </fill>
    </dxf>
    <dxf>
      <font>
        <color rgb="FF4D5656"/>
      </font>
      <fill>
        <patternFill>
          <bgColor rgb="FFF4F6F7"/>
        </patternFill>
      </fill>
    </dxf>
    <dxf>
      <font>
        <color rgb="FF6E2C00"/>
      </font>
      <fill>
        <patternFill>
          <bgColor rgb="FFFBEEE6"/>
        </patternFill>
      </fill>
    </dxf>
    <dxf>
      <font>
        <color rgb="FF7F8C8D"/>
      </font>
      <fill>
        <patternFill>
          <bgColor rgb="FFF2F4F4"/>
        </patternFill>
      </fill>
    </dxf>
    <dxf>
      <font>
        <b val="0"/>
        <i/>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dxf>
    <dxf>
      <font>
        <b/>
        <i val="0"/>
        <strike val="0"/>
        <condense val="0"/>
        <extend val="0"/>
        <outline val="0"/>
        <shadow val="0"/>
        <u val="none"/>
        <vertAlign val="baseline"/>
        <sz val="16"/>
        <color theme="1"/>
        <name val="Calibri"/>
        <family val="2"/>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Cloud Adoption Framework (CAF) Maturity Profile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radarChart>
        <c:radarStyle val="marker"/>
        <c:varyColors val="0"/>
        <c:ser>
          <c:idx val="0"/>
          <c:order val="0"/>
          <c:tx>
            <c:strRef>
              <c:f>Dashboards!$B$1</c:f>
              <c:strCache>
                <c:ptCount val="1"/>
                <c:pt idx="0">
                  <c:v>Average Score</c:v>
                </c:pt>
              </c:strCache>
            </c:strRef>
          </c:tx>
          <c:spPr>
            <a:ln w="15875" cap="rnd">
              <a:solidFill>
                <a:schemeClr val="accent1"/>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Dashboards!$A$2:$A$7</c:f>
              <c:strCache>
                <c:ptCount val="6"/>
                <c:pt idx="0">
                  <c:v>Business Perspective:</c:v>
                </c:pt>
                <c:pt idx="1">
                  <c:v>Human Perspective:</c:v>
                </c:pt>
                <c:pt idx="2">
                  <c:v>Governance Perspective:</c:v>
                </c:pt>
                <c:pt idx="3">
                  <c:v>Platform Perspective:</c:v>
                </c:pt>
                <c:pt idx="4">
                  <c:v>Security Perspective:</c:v>
                </c:pt>
                <c:pt idx="5">
                  <c:v>Operations Perspective:</c:v>
                </c:pt>
              </c:strCache>
            </c:strRef>
          </c:cat>
          <c:val>
            <c:numRef>
              <c:f>Dashboards!$B$2:$B$7</c:f>
              <c:numCache>
                <c:formatCode>0.00</c:formatCode>
                <c:ptCount val="6"/>
                <c:pt idx="0">
                  <c:v>4</c:v>
                </c:pt>
                <c:pt idx="1">
                  <c:v>4</c:v>
                </c:pt>
                <c:pt idx="2">
                  <c:v>4</c:v>
                </c:pt>
                <c:pt idx="3">
                  <c:v>4</c:v>
                </c:pt>
                <c:pt idx="4">
                  <c:v>4</c:v>
                </c:pt>
                <c:pt idx="5">
                  <c:v>4</c:v>
                </c:pt>
              </c:numCache>
            </c:numRef>
          </c:val>
          <c:extLst>
            <c:ext xmlns:c16="http://schemas.microsoft.com/office/drawing/2014/chart" uri="{C3380CC4-5D6E-409C-BE32-E72D297353CC}">
              <c16:uniqueId val="{00000000-6D0C-43D6-9EBB-7A6A2C16601C}"/>
            </c:ext>
          </c:extLst>
        </c:ser>
        <c:dLbls>
          <c:showLegendKey val="0"/>
          <c:showVal val="1"/>
          <c:showCatName val="0"/>
          <c:showSerName val="0"/>
          <c:showPercent val="0"/>
          <c:showBubbleSize val="0"/>
        </c:dLbls>
        <c:axId val="1720558831"/>
        <c:axId val="1720560271"/>
      </c:radarChart>
      <c:catAx>
        <c:axId val="172055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20560271"/>
        <c:crosses val="autoZero"/>
        <c:auto val="1"/>
        <c:lblAlgn val="ctr"/>
        <c:lblOffset val="100"/>
        <c:noMultiLvlLbl val="0"/>
      </c:catAx>
      <c:valAx>
        <c:axId val="1720560271"/>
        <c:scaling>
          <c:orientation val="minMax"/>
          <c:max val="4"/>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20558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15240</xdr:colOff>
      <xdr:row>9</xdr:row>
      <xdr:rowOff>3810</xdr:rowOff>
    </xdr:from>
    <xdr:to>
      <xdr:col>1</xdr:col>
      <xdr:colOff>464820</xdr:colOff>
      <xdr:row>24</xdr:row>
      <xdr:rowOff>140970</xdr:rowOff>
    </xdr:to>
    <xdr:graphicFrame macro="">
      <xdr:nvGraphicFramePr>
        <xdr:cNvPr id="3" name="Chart 2">
          <a:extLst>
            <a:ext uri="{FF2B5EF4-FFF2-40B4-BE49-F238E27FC236}">
              <a16:creationId xmlns:a16="http://schemas.microsoft.com/office/drawing/2014/main" id="{1BDC956C-8390-0745-B13F-49409AF5C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589CD9-2D7E-49CB-BBB2-69C9A7C8D2B4}" name="Table1" displayName="Table1" ref="A1:F48" totalsRowShown="0" headerRowDxfId="36">
  <autoFilter ref="A1:F48" xr:uid="{61589CD9-2D7E-49CB-BBB2-69C9A7C8D2B4}"/>
  <tableColumns count="6">
    <tableColumn id="1" xr3:uid="{0916C3F3-872F-47C6-AD4F-1188B0FA1A0F}" name="Perspective" dataDxfId="35"/>
    <tableColumn id="2" xr3:uid="{114797DE-B032-4D1B-9A73-FFC3F6FE713C}" name="Description" dataDxfId="34"/>
    <tableColumn id="3" xr3:uid="{2A42C975-17AB-4227-83BE-08F1567578DA}" name="Question" dataDxfId="33"/>
    <tableColumn id="4" xr3:uid="{FF1F653E-33A3-4C65-B31F-55E1487469BE}" name="User Response " dataDxfId="2"/>
    <tableColumn id="5" xr3:uid="{42E2CB15-6074-45C5-B9AC-9977E757CD78}" name="Numeric Score" dataDxfId="1">
      <calculatedColumnFormula array="1">_xlfn.IFS(D2="A", 1, D2="B", 2, D2="C", 3, D2="D", 4, TRUE, 0)</calculatedColumnFormula>
    </tableColumn>
    <tableColumn id="6" xr3:uid="{5937A71E-40F3-436B-ACCC-24EC16BE4B6E}" name="Capability Immediate Action" dataDxfId="0">
      <calculatedColumnFormula array="1">_xlfn.IFS(E2=1, "IMMEDIATE ROADBLOCK: Remediate or hire external experts", E2=2, "TACTICAL GAP: Develop missing training/documentation", E2=3, "COMPETENCY SECURE: Operationalized and scaling cleanly", E2=4, "BEST IN CLASS: Automate further and share enterprise-wide", TRUE, "")</calculatedColumnFormula>
    </tableColumn>
  </tableColumns>
  <tableStyleInfo name="TableStyleMedium2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78BEB1-2E81-49BF-8E82-F2AE3DC85E17}" name="Table3" displayName="Table3" ref="A1:C25" totalsRowShown="0">
  <autoFilter ref="A1:C25" xr:uid="{FA78BEB1-2E81-49BF-8E82-F2AE3DC85E17}"/>
  <tableColumns count="3">
    <tableColumn id="1" xr3:uid="{9572B077-82F4-4BA8-95C9-01943AA4F079}" name="CAF Domain Perspective"/>
    <tableColumn id="2" xr3:uid="{FF76798A-0818-4E38-A62A-BCD345648B27}" name="Average Score"/>
    <tableColumn id="5" xr3:uid="{11B33B64-EE19-4B83-A479-0DC246ADE142}" name="Result"/>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4A453B9-1D88-4D3F-8D36-C78669B644BB}" name="Table4" displayName="Table4" ref="A1:B21" totalsRowShown="0">
  <autoFilter ref="A1:B21" xr:uid="{A4A453B9-1D88-4D3F-8D36-C78669B644BB}"/>
  <tableColumns count="2">
    <tableColumn id="1" xr3:uid="{E4CEE4FD-D359-465B-B1B2-33920C71C750}" name="Critical Blockers &amp; Risk Mitigation States (States 1 – 3)"/>
    <tableColumn id="2" xr3:uid="{907637E3-13E1-4606-8D4C-1DC1480CD6B3}" name="States"/>
  </tableColumns>
  <tableStyleInfo name="TableStyleLight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9400-9703-47CB-B8CE-529ECA51E39F}">
  <sheetPr codeName="Sheet1"/>
  <dimension ref="A1:H55"/>
  <sheetViews>
    <sheetView topLeftCell="C21" workbookViewId="0">
      <selection activeCell="D21" sqref="D21"/>
    </sheetView>
  </sheetViews>
  <sheetFormatPr defaultRowHeight="14.4" x14ac:dyDescent="0.3"/>
  <cols>
    <col min="1" max="1" width="62.88671875" customWidth="1"/>
    <col min="2" max="2" width="42" customWidth="1"/>
    <col min="3" max="3" width="140.88671875" customWidth="1"/>
    <col min="4" max="4" width="22.109375" customWidth="1"/>
    <col min="5" max="5" width="21.21875" customWidth="1"/>
    <col min="6" max="6" width="38.109375" customWidth="1"/>
  </cols>
  <sheetData>
    <row r="1" spans="1:8" ht="24" customHeight="1" x14ac:dyDescent="0.4">
      <c r="A1" s="4" t="s">
        <v>0</v>
      </c>
      <c r="B1" s="4" t="s">
        <v>19</v>
      </c>
      <c r="C1" s="4" t="s">
        <v>1</v>
      </c>
      <c r="D1" s="4" t="s">
        <v>2</v>
      </c>
      <c r="E1" s="4" t="s">
        <v>3</v>
      </c>
      <c r="F1" s="4" t="s">
        <v>18</v>
      </c>
      <c r="G1" s="1"/>
      <c r="H1" s="1"/>
    </row>
    <row r="2" spans="1:8" ht="112.2" customHeight="1" x14ac:dyDescent="0.35">
      <c r="A2" s="3" t="s">
        <v>16</v>
      </c>
      <c r="B2" s="9" t="s">
        <v>20</v>
      </c>
      <c r="C2" s="7" t="s">
        <v>13</v>
      </c>
      <c r="D2" s="20" t="s">
        <v>131</v>
      </c>
      <c r="E2" s="22" cm="1">
        <f t="array" ref="E2">_xlfn.IFS(D2="A", 1, D2="B", 2, D2="C", 3, D2="D", 4, TRUE, 0)</f>
        <v>4</v>
      </c>
      <c r="F2" s="23" t="str" cm="1">
        <f t="array" ref="F2">_xlfn.IFS(E2=1, "IMMEDIATE ROADBLOCK: Remediate or hire external experts", E2=2, "TACTICAL GAP: Develop missing training/documentation", E2=3, "COMPETENCY SECURE: Operationalized and scaling cleanly", E2=4, "BEST IN CLASS: Automate further and share enterprise-wide", TRUE, "")</f>
        <v>BEST IN CLASS: Automate further and share enterprise-wide</v>
      </c>
      <c r="G2" s="1"/>
      <c r="H2" s="1"/>
    </row>
    <row r="3" spans="1:8" ht="111.6" customHeight="1" x14ac:dyDescent="0.35">
      <c r="A3" s="3" t="s">
        <v>16</v>
      </c>
      <c r="B3" s="11" t="s">
        <v>21</v>
      </c>
      <c r="C3" s="7" t="s">
        <v>12</v>
      </c>
      <c r="D3" s="20" t="s">
        <v>131</v>
      </c>
      <c r="E3" s="22" cm="1">
        <f t="array" ref="E3">_xlfn.IFS(D3="A", 1, D3="B", 2, D3="C", 3, D3="D", 4, TRUE, 0)</f>
        <v>4</v>
      </c>
      <c r="F3" s="23" t="str" cm="1">
        <f t="array" ref="F3">_xlfn.IFS(E3=1, "IMMEDIATE ROADBLOCK: Remediate or hire external experts", E3=2, "TACTICAL GAP: Develop missing training/documentation", E3=3, "COMPETENCY SECURE: Operationalized and scaling cleanly", E3=4, "BEST IN CLASS: Automate further and share enterprise-wide", TRUE, "")</f>
        <v>BEST IN CLASS: Automate further and share enterprise-wide</v>
      </c>
      <c r="G3" s="1"/>
      <c r="H3" s="1"/>
    </row>
    <row r="4" spans="1:8" ht="105.6" customHeight="1" x14ac:dyDescent="0.35">
      <c r="A4" s="3" t="s">
        <v>16</v>
      </c>
      <c r="B4" s="9" t="s">
        <v>22</v>
      </c>
      <c r="C4" s="7" t="s">
        <v>11</v>
      </c>
      <c r="D4" s="20" t="s">
        <v>131</v>
      </c>
      <c r="E4" s="22" cm="1">
        <f t="array" ref="E4">_xlfn.IFS(D4="A", 1, D4="B", 2, D4="C", 3, D4="D", 4, TRUE, 0)</f>
        <v>4</v>
      </c>
      <c r="F4" s="23" t="str" cm="1">
        <f t="array" ref="F4">_xlfn.IFS(E4=1, "IMMEDIATE ROADBLOCK: Remediate or hire external experts", E4=2, "TACTICAL GAP: Develop missing training/documentation", E4=3, "COMPETENCY SECURE: Operationalized and scaling cleanly", E4=4, "BEST IN CLASS: Automate further and share enterprise-wide", TRUE, "")</f>
        <v>BEST IN CLASS: Automate further and share enterprise-wide</v>
      </c>
      <c r="G4" s="1"/>
      <c r="H4" s="1"/>
    </row>
    <row r="5" spans="1:8" ht="115.8" customHeight="1" x14ac:dyDescent="0.35">
      <c r="A5" s="3" t="s">
        <v>16</v>
      </c>
      <c r="B5" s="9" t="s">
        <v>23</v>
      </c>
      <c r="C5" s="8" t="s">
        <v>10</v>
      </c>
      <c r="D5" s="20" t="s">
        <v>131</v>
      </c>
      <c r="E5" s="22" cm="1">
        <f t="array" ref="E5">_xlfn.IFS(D5="A", 1, D5="B", 2, D5="C", 3, D5="D", 4, TRUE, 0)</f>
        <v>4</v>
      </c>
      <c r="F5" s="23" t="str" cm="1">
        <f t="array" ref="F5">_xlfn.IFS(E5=1, "IMMEDIATE ROADBLOCK: Remediate or hire external experts", E5=2, "TACTICAL GAP: Develop missing training/documentation", E5=3, "COMPETENCY SECURE: Operationalized and scaling cleanly", E5=4, "BEST IN CLASS: Automate further and share enterprise-wide", TRUE, "")</f>
        <v>BEST IN CLASS: Automate further and share enterprise-wide</v>
      </c>
      <c r="G5" s="1"/>
      <c r="H5" s="1"/>
    </row>
    <row r="6" spans="1:8" ht="105" customHeight="1" x14ac:dyDescent="0.35">
      <c r="A6" s="3" t="s">
        <v>16</v>
      </c>
      <c r="B6" s="9" t="s">
        <v>24</v>
      </c>
      <c r="C6" s="7" t="s">
        <v>25</v>
      </c>
      <c r="D6" s="20" t="s">
        <v>131</v>
      </c>
      <c r="E6" s="22" cm="1">
        <f t="array" ref="E6">_xlfn.IFS(D6="A", 1, D6="B", 2, D6="C", 3, D6="D", 4, TRUE, 0)</f>
        <v>4</v>
      </c>
      <c r="F6" s="23" t="str" cm="1">
        <f t="array" ref="F6">_xlfn.IFS(E6=1, "IMMEDIATE ROADBLOCK: Remediate or hire external experts", E6=2, "TACTICAL GAP: Develop missing training/documentation", E6=3, "COMPETENCY SECURE: Operationalized and scaling cleanly", E6=4, "BEST IN CLASS: Automate further and share enterprise-wide", TRUE, "")</f>
        <v>BEST IN CLASS: Automate further and share enterprise-wide</v>
      </c>
      <c r="G6" s="1"/>
      <c r="H6" s="1"/>
    </row>
    <row r="7" spans="1:8" ht="107.4" customHeight="1" x14ac:dyDescent="0.35">
      <c r="A7" s="3" t="s">
        <v>16</v>
      </c>
      <c r="B7" s="9" t="s">
        <v>26</v>
      </c>
      <c r="C7" s="7" t="s">
        <v>9</v>
      </c>
      <c r="D7" s="20" t="s">
        <v>131</v>
      </c>
      <c r="E7" s="22" cm="1">
        <f t="array" ref="E7">_xlfn.IFS(D7="A", 1, D7="B", 2, D7="C", 3, D7="D", 4, TRUE, 0)</f>
        <v>4</v>
      </c>
      <c r="F7" s="23" t="str" cm="1">
        <f t="array" ref="F7">_xlfn.IFS(E7=1, "IMMEDIATE ROADBLOCK: Remediate or hire external experts", E7=2, "TACTICAL GAP: Develop missing training/documentation", E7=3, "COMPETENCY SECURE: Operationalized and scaling cleanly", E7=4, "BEST IN CLASS: Automate further and share enterprise-wide", TRUE, "")</f>
        <v>BEST IN CLASS: Automate further and share enterprise-wide</v>
      </c>
      <c r="G7" s="1"/>
      <c r="H7" s="1"/>
    </row>
    <row r="8" spans="1:8" ht="90.6" customHeight="1" x14ac:dyDescent="0.35">
      <c r="A8" s="3" t="s">
        <v>16</v>
      </c>
      <c r="B8" s="9" t="s">
        <v>27</v>
      </c>
      <c r="C8" s="7" t="s">
        <v>8</v>
      </c>
      <c r="D8" s="20" t="s">
        <v>131</v>
      </c>
      <c r="E8" s="22" cm="1">
        <f t="array" ref="E8">_xlfn.IFS(D8="A", 1, D8="B", 2, D8="C", 3, D8="D", 4, TRUE, 0)</f>
        <v>4</v>
      </c>
      <c r="F8" s="23" t="str" cm="1">
        <f t="array" ref="F8">_xlfn.IFS(E8=1, "IMMEDIATE ROADBLOCK: Remediate or hire external experts", E8=2, "TACTICAL GAP: Develop missing training/documentation", E8=3, "COMPETENCY SECURE: Operationalized and scaling cleanly", E8=4, "BEST IN CLASS: Automate further and share enterprise-wide", TRUE, "")</f>
        <v>BEST IN CLASS: Automate further and share enterprise-wide</v>
      </c>
      <c r="G8" s="1"/>
      <c r="H8" s="1"/>
    </row>
    <row r="9" spans="1:8" ht="91.2" customHeight="1" x14ac:dyDescent="0.35">
      <c r="A9" s="3" t="s">
        <v>16</v>
      </c>
      <c r="B9" s="9" t="s">
        <v>28</v>
      </c>
      <c r="C9" s="7" t="s">
        <v>7</v>
      </c>
      <c r="D9" s="20" t="s">
        <v>131</v>
      </c>
      <c r="E9" s="22" cm="1">
        <f t="array" ref="E9">_xlfn.IFS(D9="A", 1, D9="B", 2, D9="C", 3, D9="D", 4, TRUE, 0)</f>
        <v>4</v>
      </c>
      <c r="F9" s="23" t="str" cm="1">
        <f t="array" ref="F9">_xlfn.IFS(E9=1, "IMMEDIATE ROADBLOCK: Remediate or hire external experts", E9=2, "TACTICAL GAP: Develop missing training/documentation", E9=3, "COMPETENCY SECURE: Operationalized and scaling cleanly", E9=4, "BEST IN CLASS: Automate further and share enterprise-wide", TRUE, "")</f>
        <v>BEST IN CLASS: Automate further and share enterprise-wide</v>
      </c>
      <c r="G9" s="1"/>
      <c r="H9" s="1"/>
    </row>
    <row r="10" spans="1:8" ht="90.6" customHeight="1" x14ac:dyDescent="0.35">
      <c r="A10" s="3" t="s">
        <v>17</v>
      </c>
      <c r="B10" s="9" t="s">
        <v>29</v>
      </c>
      <c r="C10" s="7" t="s">
        <v>6</v>
      </c>
      <c r="D10" s="21" t="s">
        <v>131</v>
      </c>
      <c r="E10" s="22" cm="1">
        <f t="array" ref="E10">_xlfn.IFS(D10="A", 1, D10="B", 2, D10="C", 3, D10="D", 4, TRUE, 0)</f>
        <v>4</v>
      </c>
      <c r="F10" s="23" t="str" cm="1">
        <f t="array" ref="F10">_xlfn.IFS(E10=1, "IMMEDIATE ROADBLOCK: Remediate or hire external experts", E10=2, "TACTICAL GAP: Develop missing training/documentation", E10=3, "COMPETENCY SECURE: Operationalized and scaling cleanly", E10=4, "BEST IN CLASS: Automate further and share enterprise-wide", TRUE, "")</f>
        <v>BEST IN CLASS: Automate further and share enterprise-wide</v>
      </c>
      <c r="G10" s="1"/>
      <c r="H10" s="1"/>
    </row>
    <row r="11" spans="1:8" ht="118.2" customHeight="1" x14ac:dyDescent="0.35">
      <c r="A11" s="3" t="s">
        <v>17</v>
      </c>
      <c r="B11" s="9" t="s">
        <v>30</v>
      </c>
      <c r="C11" s="7" t="s">
        <v>14</v>
      </c>
      <c r="D11" s="21" t="s">
        <v>131</v>
      </c>
      <c r="E11" s="22" cm="1">
        <f t="array" ref="E11">_xlfn.IFS(D11="A", 1, D11="B", 2, D11="C", 3, D11="D", 4, TRUE, 0)</f>
        <v>4</v>
      </c>
      <c r="F11" s="23" t="str" cm="1">
        <f t="array" ref="F11">_xlfn.IFS(E11=1, "IMMEDIATE ROADBLOCK: Remediate or hire external experts", E11=2, "TACTICAL GAP: Develop missing training/documentation", E11=3, "COMPETENCY SECURE: Operationalized and scaling cleanly", E11=4, "BEST IN CLASS: Automate further and share enterprise-wide", TRUE, "")</f>
        <v>BEST IN CLASS: Automate further and share enterprise-wide</v>
      </c>
      <c r="G11" s="1"/>
      <c r="H11" s="1"/>
    </row>
    <row r="12" spans="1:8" ht="110.4" customHeight="1" x14ac:dyDescent="0.35">
      <c r="A12" s="3" t="s">
        <v>17</v>
      </c>
      <c r="B12" s="9" t="s">
        <v>31</v>
      </c>
      <c r="C12" s="7" t="s">
        <v>15</v>
      </c>
      <c r="D12" s="21" t="s">
        <v>131</v>
      </c>
      <c r="E12" s="22" cm="1">
        <f t="array" ref="E12">_xlfn.IFS(D12="A", 1, D12="B", 2, D12="C", 3, D12="D", 4, TRUE, 0)</f>
        <v>4</v>
      </c>
      <c r="F12" s="23" t="str" cm="1">
        <f t="array" ref="F12">_xlfn.IFS(E12=1, "IMMEDIATE ROADBLOCK: Remediate or hire external experts", E12=2, "TACTICAL GAP: Develop missing training/documentation", E12=3, "COMPETENCY SECURE: Operationalized and scaling cleanly", E12=4, "BEST IN CLASS: Automate further and share enterprise-wide", TRUE, "")</f>
        <v>BEST IN CLASS: Automate further and share enterprise-wide</v>
      </c>
      <c r="G12" s="1"/>
      <c r="H12" s="1"/>
    </row>
    <row r="13" spans="1:8" ht="122.4" customHeight="1" x14ac:dyDescent="0.35">
      <c r="A13" s="3" t="s">
        <v>17</v>
      </c>
      <c r="B13" s="9" t="s">
        <v>32</v>
      </c>
      <c r="C13" s="7" t="s">
        <v>33</v>
      </c>
      <c r="D13" s="21" t="s">
        <v>131</v>
      </c>
      <c r="E13" s="22" cm="1">
        <f t="array" ref="E13">_xlfn.IFS(D13="A", 1, D13="B", 2, D13="C", 3, D13="D", 4, TRUE, 0)</f>
        <v>4</v>
      </c>
      <c r="F13" s="23" t="str" cm="1">
        <f t="array" ref="F13">_xlfn.IFS(E13=1, "IMMEDIATE ROADBLOCK: Remediate or hire external experts", E13=2, "TACTICAL GAP: Develop missing training/documentation", E13=3, "COMPETENCY SECURE: Operationalized and scaling cleanly", E13=4, "BEST IN CLASS: Automate further and share enterprise-wide", TRUE, "")</f>
        <v>BEST IN CLASS: Automate further and share enterprise-wide</v>
      </c>
      <c r="G13" s="1"/>
      <c r="H13" s="1"/>
    </row>
    <row r="14" spans="1:8" ht="125.4" customHeight="1" x14ac:dyDescent="0.35">
      <c r="A14" s="3" t="s">
        <v>17</v>
      </c>
      <c r="B14" s="9" t="s">
        <v>34</v>
      </c>
      <c r="C14" s="7" t="s">
        <v>35</v>
      </c>
      <c r="D14" s="21" t="s">
        <v>131</v>
      </c>
      <c r="E14" s="22" cm="1">
        <f t="array" ref="E14">_xlfn.IFS(D14="A", 1, D14="B", 2, D14="C", 3, D14="D", 4, TRUE, 0)</f>
        <v>4</v>
      </c>
      <c r="F14" s="23" t="str" cm="1">
        <f t="array" ref="F14">_xlfn.IFS(E14=1, "IMMEDIATE ROADBLOCK: Remediate or hire external experts", E14=2, "TACTICAL GAP: Develop missing training/documentation", E14=3, "COMPETENCY SECURE: Operationalized and scaling cleanly", E14=4, "BEST IN CLASS: Automate further and share enterprise-wide", TRUE, "")</f>
        <v>BEST IN CLASS: Automate further and share enterprise-wide</v>
      </c>
      <c r="G14" s="1"/>
      <c r="H14" s="1"/>
    </row>
    <row r="15" spans="1:8" ht="121.8" customHeight="1" x14ac:dyDescent="0.35">
      <c r="A15" s="3" t="s">
        <v>17</v>
      </c>
      <c r="B15" s="9" t="s">
        <v>36</v>
      </c>
      <c r="C15" s="8" t="s">
        <v>37</v>
      </c>
      <c r="D15" s="21" t="s">
        <v>131</v>
      </c>
      <c r="E15" s="22" cm="1">
        <f t="array" ref="E15">_xlfn.IFS(D15="A", 1, D15="B", 2, D15="C", 3, D15="D", 4, TRUE, 0)</f>
        <v>4</v>
      </c>
      <c r="F15" s="23" t="str" cm="1">
        <f t="array" ref="F15">_xlfn.IFS(E15=1, "IMMEDIATE ROADBLOCK: Remediate or hire external experts", E15=2, "TACTICAL GAP: Develop missing training/documentation", E15=3, "COMPETENCY SECURE: Operationalized and scaling cleanly", E15=4, "BEST IN CLASS: Automate further and share enterprise-wide", TRUE, "")</f>
        <v>BEST IN CLASS: Automate further and share enterprise-wide</v>
      </c>
      <c r="G15" s="1"/>
      <c r="H15" s="1"/>
    </row>
    <row r="16" spans="1:8" ht="101.4" customHeight="1" x14ac:dyDescent="0.35">
      <c r="A16" s="3" t="s">
        <v>17</v>
      </c>
      <c r="B16" s="9" t="s">
        <v>38</v>
      </c>
      <c r="C16" s="8" t="s">
        <v>39</v>
      </c>
      <c r="D16" s="21" t="s">
        <v>131</v>
      </c>
      <c r="E16" s="22" cm="1">
        <f t="array" ref="E16">_xlfn.IFS(D16="A", 1, D16="B", 2, D16="C", 3, D16="D", 4, TRUE, 0)</f>
        <v>4</v>
      </c>
      <c r="F16" s="23" t="str" cm="1">
        <f t="array" ref="F16">_xlfn.IFS(E16=1, "IMMEDIATE ROADBLOCK: Remediate or hire external experts", E16=2, "TACTICAL GAP: Develop missing training/documentation", E16=3, "COMPETENCY SECURE: Operationalized and scaling cleanly", E16=4, "BEST IN CLASS: Automate further and share enterprise-wide", TRUE, "")</f>
        <v>BEST IN CLASS: Automate further and share enterprise-wide</v>
      </c>
      <c r="G16" s="1"/>
      <c r="H16" s="1"/>
    </row>
    <row r="17" spans="1:8" ht="94.2" customHeight="1" x14ac:dyDescent="0.35">
      <c r="A17" s="3" t="s">
        <v>17</v>
      </c>
      <c r="B17" s="9" t="s">
        <v>40</v>
      </c>
      <c r="C17" s="6" t="s">
        <v>42</v>
      </c>
      <c r="D17" s="21" t="s">
        <v>131</v>
      </c>
      <c r="E17" s="24" cm="1">
        <f t="array" ref="E17">_xlfn.IFS(D17="A", 1, D17="B", 2, D17="C", 3, D17="D", 4, TRUE, 0)</f>
        <v>4</v>
      </c>
      <c r="F17" s="23" t="str" cm="1">
        <f t="array" ref="F17">_xlfn.IFS(E17=1, "IMMEDIATE ROADBLOCK: Remediate or hire external experts", E17=2, "TACTICAL GAP: Develop missing training/documentation", E17=3, "COMPETENCY SECURE: Operationalized and scaling cleanly", E17=4, "BEST IN CLASS: Automate further and share enterprise-wide", TRUE, "")</f>
        <v>BEST IN CLASS: Automate further and share enterprise-wide</v>
      </c>
      <c r="G17" s="1"/>
      <c r="H17" s="1"/>
    </row>
    <row r="18" spans="1:8" ht="101.4" x14ac:dyDescent="0.35">
      <c r="A18" s="3" t="s">
        <v>41</v>
      </c>
      <c r="B18" s="9" t="s">
        <v>43</v>
      </c>
      <c r="C18" s="6" t="s">
        <v>44</v>
      </c>
      <c r="D18" s="21" t="s">
        <v>131</v>
      </c>
      <c r="E18" s="24" cm="1">
        <f t="array" ref="E18">_xlfn.IFS(D18="A", 1, D18="B", 2, D18="C", 3, D18="D", 4, TRUE, 0)</f>
        <v>4</v>
      </c>
      <c r="F18" s="23" t="str" cm="1">
        <f t="array" ref="F18">_xlfn.IFS(E18=1, "IMMEDIATE ROADBLOCK: Remediate or hire external experts", E18=2, "TACTICAL GAP: Develop missing training/documentation", E18=3, "COMPETENCY SECURE: Operationalized and scaling cleanly", E18=4, "BEST IN CLASS: Automate further and share enterprise-wide", TRUE, "")</f>
        <v>BEST IN CLASS: Automate further and share enterprise-wide</v>
      </c>
      <c r="G18" s="1"/>
      <c r="H18" s="1"/>
    </row>
    <row r="19" spans="1:8" ht="121.8" customHeight="1" x14ac:dyDescent="0.35">
      <c r="A19" s="3" t="s">
        <v>41</v>
      </c>
      <c r="B19" s="9" t="s">
        <v>45</v>
      </c>
      <c r="C19" s="7" t="s">
        <v>46</v>
      </c>
      <c r="D19" s="21" t="s">
        <v>131</v>
      </c>
      <c r="E19" s="24" cm="1">
        <f t="array" ref="E19">_xlfn.IFS(D19="A", 1, D19="B", 2, D19="C", 3, D19="D", 4, TRUE, 0)</f>
        <v>4</v>
      </c>
      <c r="F19" s="23" t="str" cm="1">
        <f t="array" ref="F19">_xlfn.IFS(E19=1, "IMMEDIATE ROADBLOCK: Remediate or hire external experts", E19=2, "TACTICAL GAP: Develop missing training/documentation", E19=3, "COMPETENCY SECURE: Operationalized and scaling cleanly", E19=4, "BEST IN CLASS: Automate further and share enterprise-wide", TRUE, "")</f>
        <v>BEST IN CLASS: Automate further and share enterprise-wide</v>
      </c>
      <c r="G19" s="1"/>
      <c r="H19" s="1"/>
    </row>
    <row r="20" spans="1:8" ht="108.6" customHeight="1" x14ac:dyDescent="0.35">
      <c r="A20" s="3" t="s">
        <v>41</v>
      </c>
      <c r="B20" s="9" t="s">
        <v>47</v>
      </c>
      <c r="C20" s="7" t="s">
        <v>48</v>
      </c>
      <c r="D20" s="21" t="s">
        <v>131</v>
      </c>
      <c r="E20" s="24" cm="1">
        <f t="array" ref="E20">_xlfn.IFS(D20="A", 1, D20="B", 2, D20="C", 3, D20="D", 4, TRUE, 0)</f>
        <v>4</v>
      </c>
      <c r="F20" s="23" t="str" cm="1">
        <f t="array" ref="F20">_xlfn.IFS(E20=1, "IMMEDIATE ROADBLOCK: Remediate or hire external experts", E20=2, "TACTICAL GAP: Develop missing training/documentation", E20=3, "COMPETENCY SECURE: Operationalized and scaling cleanly", E20=4, "BEST IN CLASS: Automate further and share enterprise-wide", TRUE, "")</f>
        <v>BEST IN CLASS: Automate further and share enterprise-wide</v>
      </c>
    </row>
    <row r="21" spans="1:8" ht="114.6" customHeight="1" x14ac:dyDescent="0.35">
      <c r="A21" s="3" t="s">
        <v>41</v>
      </c>
      <c r="B21" s="9" t="s">
        <v>49</v>
      </c>
      <c r="C21" s="7" t="s">
        <v>52</v>
      </c>
      <c r="D21" s="21" t="s">
        <v>131</v>
      </c>
      <c r="E21" s="24" cm="1">
        <f t="array" ref="E21">_xlfn.IFS(D21="A", 1, D21="B", 2, D21="C", 3, D21="D", 4, TRUE, 0)</f>
        <v>4</v>
      </c>
      <c r="F21" s="23" t="str" cm="1">
        <f t="array" ref="F21">_xlfn.IFS(E21=1, "IMMEDIATE ROADBLOCK: Remediate or hire external experts", E21=2, "TACTICAL GAP: Develop missing training/documentation", E21=3, "COMPETENCY SECURE: Operationalized and scaling cleanly", E21=4, "BEST IN CLASS: Automate further and share enterprise-wide", TRUE, "")</f>
        <v>BEST IN CLASS: Automate further and share enterprise-wide</v>
      </c>
    </row>
    <row r="22" spans="1:8" ht="111" x14ac:dyDescent="0.35">
      <c r="A22" s="3" t="s">
        <v>41</v>
      </c>
      <c r="B22" s="9" t="s">
        <v>50</v>
      </c>
      <c r="C22" s="7" t="s">
        <v>51</v>
      </c>
      <c r="D22" s="21" t="s">
        <v>131</v>
      </c>
      <c r="E22" s="24" cm="1">
        <f t="array" ref="E22">_xlfn.IFS(D22="A", 1, D22="B", 2, D22="C", 3, D22="D", 4, TRUE, 0)</f>
        <v>4</v>
      </c>
      <c r="F22" s="23" t="str" cm="1">
        <f t="array" ref="F22">_xlfn.IFS(E22=1, "IMMEDIATE ROADBLOCK: Remediate or hire external experts", E22=2, "TACTICAL GAP: Develop missing training/documentation", E22=3, "COMPETENCY SECURE: Operationalized and scaling cleanly", E22=4, "BEST IN CLASS: Automate further and share enterprise-wide", TRUE, "")</f>
        <v>BEST IN CLASS: Automate further and share enterprise-wide</v>
      </c>
    </row>
    <row r="23" spans="1:8" ht="109.2" customHeight="1" x14ac:dyDescent="0.35">
      <c r="A23" s="3" t="s">
        <v>41</v>
      </c>
      <c r="B23" s="9" t="s">
        <v>53</v>
      </c>
      <c r="C23" s="7" t="s">
        <v>54</v>
      </c>
      <c r="D23" s="21" t="s">
        <v>131</v>
      </c>
      <c r="E23" s="24" cm="1">
        <f t="array" ref="E23">_xlfn.IFS(D23="A", 1, D23="B", 2, D23="C", 3, D23="D", 4, TRUE, 0)</f>
        <v>4</v>
      </c>
      <c r="F23" s="23" t="str" cm="1">
        <f t="array" ref="F23">_xlfn.IFS(E23=1, "IMMEDIATE ROADBLOCK: Remediate or hire external experts", E23=2, "TACTICAL GAP: Develop missing training/documentation", E23=3, "COMPETENCY SECURE: Operationalized and scaling cleanly", E23=4, "BEST IN CLASS: Automate further and share enterprise-wide", TRUE, "")</f>
        <v>BEST IN CLASS: Automate further and share enterprise-wide</v>
      </c>
    </row>
    <row r="24" spans="1:8" ht="109.2" customHeight="1" x14ac:dyDescent="0.35">
      <c r="A24" s="3" t="s">
        <v>41</v>
      </c>
      <c r="B24" s="9" t="s">
        <v>55</v>
      </c>
      <c r="C24" s="7" t="s">
        <v>56</v>
      </c>
      <c r="D24" s="21" t="s">
        <v>131</v>
      </c>
      <c r="E24" s="24" cm="1">
        <f t="array" ref="E24">_xlfn.IFS(D24="A", 1, D24="B", 2, D24="C", 3, D24="D", 4, TRUE, 0)</f>
        <v>4</v>
      </c>
      <c r="F24" s="23" t="str" cm="1">
        <f t="array" ref="F24">_xlfn.IFS(E24=1, "IMMEDIATE ROADBLOCK: Remediate or hire external experts", E24=2, "TACTICAL GAP: Develop missing training/documentation", E24=3, "COMPETENCY SECURE: Operationalized and scaling cleanly", E24=4, "BEST IN CLASS: Automate further and share enterprise-wide", TRUE, "")</f>
        <v>BEST IN CLASS: Automate further and share enterprise-wide</v>
      </c>
    </row>
    <row r="25" spans="1:8" ht="106.8" customHeight="1" x14ac:dyDescent="0.35">
      <c r="A25" s="3" t="s">
        <v>41</v>
      </c>
      <c r="B25" s="9" t="s">
        <v>57</v>
      </c>
      <c r="C25" s="7" t="s">
        <v>58</v>
      </c>
      <c r="D25" s="21" t="s">
        <v>131</v>
      </c>
      <c r="E25" s="24" cm="1">
        <f t="array" ref="E25">_xlfn.IFS(D25="A", 1, D25="B", 2, D25="C", 3, D25="D", 4, TRUE, 0)</f>
        <v>4</v>
      </c>
      <c r="F25" s="23" t="str" cm="1">
        <f t="array" ref="F25">_xlfn.IFS(E25=1, "IMMEDIATE ROADBLOCK: Remediate or hire external experts", E25=2, "TACTICAL GAP: Develop missing training/documentation", E25=3, "COMPETENCY SECURE: Operationalized and scaling cleanly", E25=4, "BEST IN CLASS: Automate further and share enterprise-wide", TRUE, "")</f>
        <v>BEST IN CLASS: Automate further and share enterprise-wide</v>
      </c>
    </row>
    <row r="26" spans="1:8" ht="97.2" x14ac:dyDescent="0.35">
      <c r="A26" s="3" t="s">
        <v>59</v>
      </c>
      <c r="B26" s="9" t="s">
        <v>61</v>
      </c>
      <c r="C26" s="7" t="s">
        <v>60</v>
      </c>
      <c r="D26" s="21" t="s">
        <v>131</v>
      </c>
      <c r="E26" s="24" cm="1">
        <f t="array" ref="E26">_xlfn.IFS(D26="A", 1, D26="B", 2, D26="C", 3, D26="D", 4, TRUE, 0)</f>
        <v>4</v>
      </c>
      <c r="F26" s="23" t="str" cm="1">
        <f t="array" ref="F26">_xlfn.IFS(E26=1, "IMMEDIATE ROADBLOCK: Remediate or hire external experts", E26=2, "TACTICAL GAP: Develop missing training/documentation", E26=3, "COMPETENCY SECURE: Operationalized and scaling cleanly", E26=4, "BEST IN CLASS: Automate further and share enterprise-wide", TRUE, "")</f>
        <v>BEST IN CLASS: Automate further and share enterprise-wide</v>
      </c>
    </row>
    <row r="27" spans="1:8" ht="120.6" customHeight="1" x14ac:dyDescent="0.35">
      <c r="A27" s="2" t="s">
        <v>59</v>
      </c>
      <c r="B27" s="9" t="s">
        <v>62</v>
      </c>
      <c r="C27" s="6" t="s">
        <v>63</v>
      </c>
      <c r="D27" s="21" t="s">
        <v>131</v>
      </c>
      <c r="E27" s="24" cm="1">
        <f t="array" ref="E27">_xlfn.IFS(D27="A", 1, D27="B", 2, D27="C", 3, D27="D", 4, TRUE, 0)</f>
        <v>4</v>
      </c>
      <c r="F27" s="23" t="str" cm="1">
        <f t="array" ref="F27">_xlfn.IFS(E27=1, "IMMEDIATE ROADBLOCK: Remediate or hire external experts", E27=2, "TACTICAL GAP: Develop missing training/documentation", E27=3, "COMPETENCY SECURE: Operationalized and scaling cleanly", E27=4, "BEST IN CLASS: Automate further and share enterprise-wide", TRUE, "")</f>
        <v>BEST IN CLASS: Automate further and share enterprise-wide</v>
      </c>
    </row>
    <row r="28" spans="1:8" ht="144" customHeight="1" x14ac:dyDescent="0.35">
      <c r="A28" s="2" t="s">
        <v>59</v>
      </c>
      <c r="B28" s="9" t="s">
        <v>64</v>
      </c>
      <c r="C28" s="6" t="s">
        <v>65</v>
      </c>
      <c r="D28" s="21" t="s">
        <v>131</v>
      </c>
      <c r="E28" s="24" cm="1">
        <f t="array" ref="E28">_xlfn.IFS(D28="A", 1, D28="B", 2, D28="C", 3, D28="D", 4, TRUE, 0)</f>
        <v>4</v>
      </c>
      <c r="F28" s="23" t="str" cm="1">
        <f t="array" ref="F28">_xlfn.IFS(E28=1, "IMMEDIATE ROADBLOCK: Remediate or hire external experts", E28=2, "TACTICAL GAP: Develop missing training/documentation", E28=3, "COMPETENCY SECURE: Operationalized and scaling cleanly", E28=4, "BEST IN CLASS: Automate further and share enterprise-wide", TRUE, "")</f>
        <v>BEST IN CLASS: Automate further and share enterprise-wide</v>
      </c>
    </row>
    <row r="29" spans="1:8" ht="114" customHeight="1" x14ac:dyDescent="0.35">
      <c r="A29" s="2" t="s">
        <v>59</v>
      </c>
      <c r="B29" s="9" t="s">
        <v>66</v>
      </c>
      <c r="C29" s="7" t="s">
        <v>67</v>
      </c>
      <c r="D29" s="21" t="s">
        <v>131</v>
      </c>
      <c r="E29" s="24" cm="1">
        <f t="array" ref="E29">_xlfn.IFS(D29="A", 1, D29="B", 2, D29="C", 3, D29="D", 4, TRUE, 0)</f>
        <v>4</v>
      </c>
      <c r="F29" s="23" t="str" cm="1">
        <f t="array" ref="F29">_xlfn.IFS(E29=1, "IMMEDIATE ROADBLOCK: Remediate or hire external experts", E29=2, "TACTICAL GAP: Develop missing training/documentation", E29=3, "COMPETENCY SECURE: Operationalized and scaling cleanly", E29=4, "BEST IN CLASS: Automate further and share enterprise-wide", TRUE, "")</f>
        <v>BEST IN CLASS: Automate further and share enterprise-wide</v>
      </c>
    </row>
    <row r="30" spans="1:8" ht="128.4" customHeight="1" x14ac:dyDescent="0.35">
      <c r="A30" s="2" t="s">
        <v>59</v>
      </c>
      <c r="B30" s="9" t="s">
        <v>68</v>
      </c>
      <c r="C30" s="7" t="s">
        <v>70</v>
      </c>
      <c r="D30" s="21" t="s">
        <v>131</v>
      </c>
      <c r="E30" s="24" cm="1">
        <f t="array" ref="E30">_xlfn.IFS(D30="A", 1, D30="B", 2, D30="C", 3, D30="D", 4, TRUE, 0)</f>
        <v>4</v>
      </c>
      <c r="F30" s="23" t="str" cm="1">
        <f t="array" ref="F30">_xlfn.IFS(E30=1, "IMMEDIATE ROADBLOCK: Remediate or hire external experts", E30=2, "TACTICAL GAP: Develop missing training/documentation", E30=3, "COMPETENCY SECURE: Operationalized and scaling cleanly", E30=4, "BEST IN CLASS: Automate further and share enterprise-wide", TRUE, "")</f>
        <v>BEST IN CLASS: Automate further and share enterprise-wide</v>
      </c>
    </row>
    <row r="31" spans="1:8" ht="93" customHeight="1" x14ac:dyDescent="0.35">
      <c r="A31" s="2" t="s">
        <v>59</v>
      </c>
      <c r="B31" s="9" t="s">
        <v>69</v>
      </c>
      <c r="C31" s="7" t="s">
        <v>71</v>
      </c>
      <c r="D31" s="21" t="s">
        <v>131</v>
      </c>
      <c r="E31" s="24" cm="1">
        <f t="array" ref="E31">_xlfn.IFS(D31="A", 1, D31="B", 2, D31="C", 3, D31="D", 4, TRUE, 0)</f>
        <v>4</v>
      </c>
      <c r="F31" s="23" t="str" cm="1">
        <f t="array" ref="F31">_xlfn.IFS(E31=1, "IMMEDIATE ROADBLOCK: Remediate or hire external experts", E31=2, "TACTICAL GAP: Develop missing training/documentation", E31=3, "COMPETENCY SECURE: Operationalized and scaling cleanly", E31=4, "BEST IN CLASS: Automate further and share enterprise-wide", TRUE, "")</f>
        <v>BEST IN CLASS: Automate further and share enterprise-wide</v>
      </c>
    </row>
    <row r="32" spans="1:8" ht="111" x14ac:dyDescent="0.35">
      <c r="A32" s="2" t="s">
        <v>59</v>
      </c>
      <c r="B32" s="9" t="s">
        <v>72</v>
      </c>
      <c r="C32" s="7" t="s">
        <v>73</v>
      </c>
      <c r="D32" s="21" t="s">
        <v>131</v>
      </c>
      <c r="E32" s="24" cm="1">
        <f t="array" ref="E32">_xlfn.IFS(D32="A", 1, D32="B", 2, D32="C", 3, D32="D", 4, TRUE, 0)</f>
        <v>4</v>
      </c>
      <c r="F32" s="23" t="str" cm="1">
        <f t="array" ref="F32">_xlfn.IFS(E32=1, "IMMEDIATE ROADBLOCK: Remediate or hire external experts", E32=2, "TACTICAL GAP: Develop missing training/documentation", E32=3, "COMPETENCY SECURE: Operationalized and scaling cleanly", E32=4, "BEST IN CLASS: Automate further and share enterprise-wide", TRUE, "")</f>
        <v>BEST IN CLASS: Automate further and share enterprise-wide</v>
      </c>
    </row>
    <row r="33" spans="1:6" ht="124.8" customHeight="1" x14ac:dyDescent="0.35">
      <c r="A33" s="2" t="s">
        <v>59</v>
      </c>
      <c r="B33" s="9" t="s">
        <v>74</v>
      </c>
      <c r="C33" s="7" t="s">
        <v>75</v>
      </c>
      <c r="D33" s="21" t="s">
        <v>131</v>
      </c>
      <c r="E33" s="24" cm="1">
        <f t="array" ref="E33">_xlfn.IFS(D33="A", 1, D33="B", 2, D33="C", 3, D33="D", 4, TRUE, 0)</f>
        <v>4</v>
      </c>
      <c r="F33" s="23" t="str" cm="1">
        <f t="array" ref="F33">_xlfn.IFS(E33=1, "IMMEDIATE ROADBLOCK: Remediate or hire external experts", E33=2, "TACTICAL GAP: Develop missing training/documentation", E33=3, "COMPETENCY SECURE: Operationalized and scaling cleanly", E33=4, "BEST IN CLASS: Automate further and share enterprise-wide", TRUE, "")</f>
        <v>BEST IN CLASS: Automate further and share enterprise-wide</v>
      </c>
    </row>
    <row r="34" spans="1:6" ht="136.19999999999999" customHeight="1" x14ac:dyDescent="0.35">
      <c r="A34" s="2" t="s">
        <v>76</v>
      </c>
      <c r="B34" s="9" t="s">
        <v>77</v>
      </c>
      <c r="C34" s="7" t="s">
        <v>78</v>
      </c>
      <c r="D34" s="21" t="s">
        <v>131</v>
      </c>
      <c r="E34" s="24" cm="1">
        <f t="array" ref="E34">_xlfn.IFS(D34="A", 1, D34="B", 2, D34="C", 3, D34="D", 4, TRUE, 0)</f>
        <v>4</v>
      </c>
      <c r="F34" s="23" t="str" cm="1">
        <f t="array" ref="F34">_xlfn.IFS(E34=1, "IMMEDIATE ROADBLOCK: Remediate or hire external experts", E34=2, "TACTICAL GAP: Develop missing training/documentation", E34=3, "COMPETENCY SECURE: Operationalized and scaling cleanly", E34=4, "BEST IN CLASS: Automate further and share enterprise-wide", TRUE, "")</f>
        <v>BEST IN CLASS: Automate further and share enterprise-wide</v>
      </c>
    </row>
    <row r="35" spans="1:6" ht="124.8" customHeight="1" x14ac:dyDescent="0.35">
      <c r="A35" s="2" t="s">
        <v>76</v>
      </c>
      <c r="B35" s="9" t="s">
        <v>79</v>
      </c>
      <c r="C35" s="7" t="s">
        <v>80</v>
      </c>
      <c r="D35" s="21" t="s">
        <v>131</v>
      </c>
      <c r="E35" s="24" cm="1">
        <f t="array" ref="E35">_xlfn.IFS(D35="A", 1, D35="B", 2, D35="C", 3, D35="D", 4, TRUE, 0)</f>
        <v>4</v>
      </c>
      <c r="F35" s="23" t="str" cm="1">
        <f t="array" ref="F35">_xlfn.IFS(E35=1, "IMMEDIATE ROADBLOCK: Remediate or hire external experts", E35=2, "TACTICAL GAP: Develop missing training/documentation", E35=3, "COMPETENCY SECURE: Operationalized and scaling cleanly", E35=4, "BEST IN CLASS: Automate further and share enterprise-wide", TRUE, "")</f>
        <v>BEST IN CLASS: Automate further and share enterprise-wide</v>
      </c>
    </row>
    <row r="36" spans="1:6" ht="78.599999999999994" customHeight="1" x14ac:dyDescent="0.35">
      <c r="A36" s="2" t="s">
        <v>76</v>
      </c>
      <c r="B36" s="9" t="s">
        <v>81</v>
      </c>
      <c r="C36" s="7" t="s">
        <v>82</v>
      </c>
      <c r="D36" s="21" t="s">
        <v>131</v>
      </c>
      <c r="E36" s="24" cm="1">
        <f t="array" ref="E36">_xlfn.IFS(D36="A", 1, D36="B", 2, D36="C", 3, D36="D", 4, TRUE, 0)</f>
        <v>4</v>
      </c>
      <c r="F36" s="23" t="str" cm="1">
        <f t="array" ref="F36">_xlfn.IFS(E36=1, "IMMEDIATE ROADBLOCK: Remediate or hire external experts", E36=2, "TACTICAL GAP: Develop missing training/documentation", E36=3, "COMPETENCY SECURE: Operationalized and scaling cleanly", E36=4, "BEST IN CLASS: Automate further and share enterprise-wide", TRUE, "")</f>
        <v>BEST IN CLASS: Automate further and share enterprise-wide</v>
      </c>
    </row>
    <row r="37" spans="1:6" ht="83.4" x14ac:dyDescent="0.35">
      <c r="A37" s="2" t="s">
        <v>76</v>
      </c>
      <c r="B37" s="9" t="s">
        <v>83</v>
      </c>
      <c r="C37" s="7" t="s">
        <v>84</v>
      </c>
      <c r="D37" s="21" t="s">
        <v>131</v>
      </c>
      <c r="E37" s="24" cm="1">
        <f t="array" ref="E37">_xlfn.IFS(D37="A", 1, D37="B", 2, D37="C", 3, D37="D", 4, TRUE, 0)</f>
        <v>4</v>
      </c>
      <c r="F37" s="23" t="str" cm="1">
        <f t="array" ref="F37">_xlfn.IFS(E37=1, "IMMEDIATE ROADBLOCK: Remediate or hire external experts", E37=2, "TACTICAL GAP: Develop missing training/documentation", E37=3, "COMPETENCY SECURE: Operationalized and scaling cleanly", E37=4, "BEST IN CLASS: Automate further and share enterprise-wide", TRUE, "")</f>
        <v>BEST IN CLASS: Automate further and share enterprise-wide</v>
      </c>
    </row>
    <row r="38" spans="1:6" ht="111.6" customHeight="1" x14ac:dyDescent="0.35">
      <c r="A38" s="2" t="s">
        <v>76</v>
      </c>
      <c r="B38" s="9" t="s">
        <v>85</v>
      </c>
      <c r="C38" s="7" t="s">
        <v>86</v>
      </c>
      <c r="D38" s="21" t="s">
        <v>131</v>
      </c>
      <c r="E38" s="24" cm="1">
        <f t="array" ref="E38">_xlfn.IFS(D38="A", 1, D38="B", 2, D38="C", 3, D38="D", 4, TRUE, 0)</f>
        <v>4</v>
      </c>
      <c r="F38" s="23" t="str" cm="1">
        <f t="array" ref="F38">_xlfn.IFS(E38=1, "IMMEDIATE ROADBLOCK: Remediate or hire external experts", E38=2, "TACTICAL GAP: Develop missing training/documentation", E38=3, "COMPETENCY SECURE: Operationalized and scaling cleanly", E38=4, "BEST IN CLASS: Automate further and share enterprise-wide", TRUE, "")</f>
        <v>BEST IN CLASS: Automate further and share enterprise-wide</v>
      </c>
    </row>
    <row r="39" spans="1:6" ht="113.4" customHeight="1" x14ac:dyDescent="0.35">
      <c r="A39" s="2" t="s">
        <v>76</v>
      </c>
      <c r="B39" s="9" t="s">
        <v>87</v>
      </c>
      <c r="C39" s="7" t="s">
        <v>88</v>
      </c>
      <c r="D39" s="21" t="s">
        <v>131</v>
      </c>
      <c r="E39" s="24" cm="1">
        <f t="array" ref="E39">_xlfn.IFS(D39="A", 1, D39="B", 2, D39="C", 3, D39="D", 4, TRUE, 0)</f>
        <v>4</v>
      </c>
      <c r="F39" s="23" t="str" cm="1">
        <f t="array" ref="F39">_xlfn.IFS(E39=1, "IMMEDIATE ROADBLOCK: Remediate or hire external experts", E39=2, "TACTICAL GAP: Develop missing training/documentation", E39=3, "COMPETENCY SECURE: Operationalized and scaling cleanly", E39=4, "BEST IN CLASS: Automate further and share enterprise-wide", TRUE, "")</f>
        <v>BEST IN CLASS: Automate further and share enterprise-wide</v>
      </c>
    </row>
    <row r="40" spans="1:6" ht="117" customHeight="1" x14ac:dyDescent="0.35">
      <c r="A40" s="2" t="s">
        <v>76</v>
      </c>
      <c r="B40" s="9" t="s">
        <v>90</v>
      </c>
      <c r="C40" s="7" t="s">
        <v>89</v>
      </c>
      <c r="D40" s="21" t="s">
        <v>131</v>
      </c>
      <c r="E40" s="24" cm="1">
        <f t="array" ref="E40">_xlfn.IFS(D40="A", 1, D40="B", 2, D40="C", 3, D40="D", 4, TRUE, 0)</f>
        <v>4</v>
      </c>
      <c r="F40" s="23" t="str" cm="1">
        <f t="array" ref="F40">_xlfn.IFS(E40=1, "IMMEDIATE ROADBLOCK: Remediate or hire external experts", E40=2, "TACTICAL GAP: Develop missing training/documentation", E40=3, "COMPETENCY SECURE: Operationalized and scaling cleanly", E40=4, "BEST IN CLASS: Automate further and share enterprise-wide", TRUE, "")</f>
        <v>BEST IN CLASS: Automate further and share enterprise-wide</v>
      </c>
    </row>
    <row r="41" spans="1:6" ht="114.6" customHeight="1" x14ac:dyDescent="0.35">
      <c r="A41" s="2" t="s">
        <v>76</v>
      </c>
      <c r="B41" s="9" t="s">
        <v>91</v>
      </c>
      <c r="C41" s="7" t="s">
        <v>92</v>
      </c>
      <c r="D41" s="21" t="s">
        <v>131</v>
      </c>
      <c r="E41" s="24" cm="1">
        <f t="array" ref="E41">_xlfn.IFS(D41="A", 1, D41="B", 2, D41="C", 3, D41="D", 4, TRUE, 0)</f>
        <v>4</v>
      </c>
      <c r="F41" s="23" t="str" cm="1">
        <f t="array" ref="F41">_xlfn.IFS(E41=1, "IMMEDIATE ROADBLOCK: Remediate or hire external experts", E41=2, "TACTICAL GAP: Develop missing training/documentation", E41=3, "COMPETENCY SECURE: Operationalized and scaling cleanly", E41=4, "BEST IN CLASS: Automate further and share enterprise-wide", TRUE, "")</f>
        <v>BEST IN CLASS: Automate further and share enterprise-wide</v>
      </c>
    </row>
    <row r="42" spans="1:6" ht="110.4" customHeight="1" x14ac:dyDescent="0.35">
      <c r="A42" s="2" t="s">
        <v>94</v>
      </c>
      <c r="B42" s="11" t="s">
        <v>95</v>
      </c>
      <c r="C42" s="7" t="s">
        <v>96</v>
      </c>
      <c r="D42" s="21" t="s">
        <v>131</v>
      </c>
      <c r="E42" s="24" cm="1">
        <f t="array" ref="E42">_xlfn.IFS(D42="A", 1, D42="B", 2, D42="C", 3, D42="D", 4, TRUE, 0)</f>
        <v>4</v>
      </c>
      <c r="F42" s="23" t="str" cm="1">
        <f t="array" ref="F42">_xlfn.IFS(E42=1, "IMMEDIATE ROADBLOCK: Remediate or hire external experts", E42=2, "TACTICAL GAP: Develop missing training/documentation", E42=3, "COMPETENCY SECURE: Operationalized and scaling cleanly", E42=4, "BEST IN CLASS: Automate further and share enterprise-wide", TRUE, "")</f>
        <v>BEST IN CLASS: Automate further and share enterprise-wide</v>
      </c>
    </row>
    <row r="43" spans="1:6" ht="123" customHeight="1" x14ac:dyDescent="0.35">
      <c r="A43" s="2" t="s">
        <v>94</v>
      </c>
      <c r="B43" s="11" t="s">
        <v>97</v>
      </c>
      <c r="C43" s="7" t="s">
        <v>98</v>
      </c>
      <c r="D43" s="21" t="s">
        <v>131</v>
      </c>
      <c r="E43" s="24" cm="1">
        <f t="array" ref="E43">_xlfn.IFS(D43="A", 1, D43="B", 2, D43="C", 3, D43="D", 4, TRUE, 0)</f>
        <v>4</v>
      </c>
      <c r="F43" s="23" t="str" cm="1">
        <f t="array" ref="F43">_xlfn.IFS(E43=1, "IMMEDIATE ROADBLOCK: Remediate or hire external experts", E43=2, "TACTICAL GAP: Develop missing training/documentation", E43=3, "COMPETENCY SECURE: Operationalized and scaling cleanly", E43=4, "BEST IN CLASS: Automate further and share enterprise-wide", TRUE, "")</f>
        <v>BEST IN CLASS: Automate further and share enterprise-wide</v>
      </c>
    </row>
    <row r="44" spans="1:6" ht="134.4" customHeight="1" x14ac:dyDescent="0.35">
      <c r="A44" s="2" t="s">
        <v>94</v>
      </c>
      <c r="B44" s="11" t="s">
        <v>99</v>
      </c>
      <c r="C44" s="7" t="s">
        <v>100</v>
      </c>
      <c r="D44" s="21" t="s">
        <v>131</v>
      </c>
      <c r="E44" s="24" cm="1">
        <f t="array" ref="E44">_xlfn.IFS(D44="A", 1, D44="B", 2, D44="C", 3, D44="D", 4, TRUE, 0)</f>
        <v>4</v>
      </c>
      <c r="F44" s="23" t="str" cm="1">
        <f t="array" ref="F44">_xlfn.IFS(E44=1, "IMMEDIATE ROADBLOCK: Remediate or hire external experts", E44=2, "TACTICAL GAP: Develop missing training/documentation", E44=3, "COMPETENCY SECURE: Operationalized and scaling cleanly", E44=4, "BEST IN CLASS: Automate further and share enterprise-wide", TRUE, "")</f>
        <v>BEST IN CLASS: Automate further and share enterprise-wide</v>
      </c>
    </row>
    <row r="45" spans="1:6" ht="111" x14ac:dyDescent="0.35">
      <c r="A45" s="2" t="s">
        <v>94</v>
      </c>
      <c r="B45" s="11" t="s">
        <v>101</v>
      </c>
      <c r="C45" s="7" t="s">
        <v>102</v>
      </c>
      <c r="D45" s="21" t="s">
        <v>131</v>
      </c>
      <c r="E45" s="24" cm="1">
        <f t="array" ref="E45">_xlfn.IFS(D45="A", 1, D45="B", 2, D45="C", 3, D45="D", 4, TRUE, 0)</f>
        <v>4</v>
      </c>
      <c r="F45" s="23" t="str" cm="1">
        <f t="array" ref="F45">_xlfn.IFS(E45=1, "IMMEDIATE ROADBLOCK: Remediate or hire external experts", E45=2, "TACTICAL GAP: Develop missing training/documentation", E45=3, "COMPETENCY SECURE: Operationalized and scaling cleanly", E45=4, "BEST IN CLASS: Automate further and share enterprise-wide", TRUE, "")</f>
        <v>BEST IN CLASS: Automate further and share enterprise-wide</v>
      </c>
    </row>
    <row r="46" spans="1:6" ht="138.6" x14ac:dyDescent="0.35">
      <c r="A46" s="2" t="s">
        <v>94</v>
      </c>
      <c r="B46" s="11" t="s">
        <v>103</v>
      </c>
      <c r="C46" s="7" t="s">
        <v>106</v>
      </c>
      <c r="D46" s="21" t="s">
        <v>131</v>
      </c>
      <c r="E46" s="24" cm="1">
        <f t="array" ref="E46">_xlfn.IFS(D46="A", 1, D46="B", 2, D46="C", 3, D46="D", 4, TRUE, 0)</f>
        <v>4</v>
      </c>
      <c r="F46" s="23" t="str" cm="1">
        <f t="array" ref="F46">_xlfn.IFS(E46=1, "IMMEDIATE ROADBLOCK: Remediate or hire external experts", E46=2, "TACTICAL GAP: Develop missing training/documentation", E46=3, "COMPETENCY SECURE: Operationalized and scaling cleanly", E46=4, "BEST IN CLASS: Automate further and share enterprise-wide", TRUE, "")</f>
        <v>BEST IN CLASS: Automate further and share enterprise-wide</v>
      </c>
    </row>
    <row r="47" spans="1:6" ht="111" x14ac:dyDescent="0.35">
      <c r="A47" s="2" t="s">
        <v>94</v>
      </c>
      <c r="B47" s="11" t="s">
        <v>104</v>
      </c>
      <c r="C47" s="7" t="s">
        <v>105</v>
      </c>
      <c r="D47" s="21" t="s">
        <v>131</v>
      </c>
      <c r="E47" s="24" cm="1">
        <f t="array" ref="E47">_xlfn.IFS(D47="A", 1, D47="B", 2, D47="C", 3, D47="D", 4, TRUE, 0)</f>
        <v>4</v>
      </c>
      <c r="F47" s="23" t="str" cm="1">
        <f t="array" ref="F47">_xlfn.IFS(E47=1, "IMMEDIATE ROADBLOCK: Remediate or hire external experts", E47=2, "TACTICAL GAP: Develop missing training/documentation", E47=3, "COMPETENCY SECURE: Operationalized and scaling cleanly", E47=4, "BEST IN CLASS: Automate further and share enterprise-wide", TRUE, "")</f>
        <v>BEST IN CLASS: Automate further and share enterprise-wide</v>
      </c>
    </row>
    <row r="48" spans="1:6" ht="104.4" customHeight="1" x14ac:dyDescent="0.35">
      <c r="A48" s="2" t="s">
        <v>94</v>
      </c>
      <c r="B48" s="11" t="s">
        <v>107</v>
      </c>
      <c r="C48" s="7" t="s">
        <v>108</v>
      </c>
      <c r="D48" s="21" t="s">
        <v>131</v>
      </c>
      <c r="E48" s="24" cm="1">
        <f t="array" ref="E48">_xlfn.IFS(D48="A", 1, D48="B", 2, D48="C", 3, D48="D", 4, TRUE, 0)</f>
        <v>4</v>
      </c>
      <c r="F48" s="23" t="str" cm="1">
        <f t="array" ref="F48">_xlfn.IFS(E48=1, "IMMEDIATE ROADBLOCK: Remediate or hire external experts", E48=2, "TACTICAL GAP: Develop missing training/documentation", E48=3, "COMPETENCY SECURE: Operationalized and scaling cleanly", E48=4, "BEST IN CLASS: Automate further and share enterprise-wide", TRUE, "")</f>
        <v>BEST IN CLASS: Automate further and share enterprise-wide</v>
      </c>
    </row>
    <row r="49" spans="1:2" x14ac:dyDescent="0.3">
      <c r="B49" s="10"/>
    </row>
    <row r="50" spans="1:2" ht="15.6" x14ac:dyDescent="0.3">
      <c r="A50" s="18" t="s">
        <v>130</v>
      </c>
      <c r="B50" s="10"/>
    </row>
    <row r="51" spans="1:2" x14ac:dyDescent="0.3">
      <c r="B51" s="10"/>
    </row>
    <row r="52" spans="1:2" x14ac:dyDescent="0.3">
      <c r="B52" s="10"/>
    </row>
    <row r="53" spans="1:2" x14ac:dyDescent="0.3">
      <c r="B53" s="10"/>
    </row>
    <row r="54" spans="1:2" x14ac:dyDescent="0.3">
      <c r="B54" s="10"/>
    </row>
    <row r="55" spans="1:2" x14ac:dyDescent="0.3">
      <c r="B55" s="10"/>
    </row>
  </sheetData>
  <sheetProtection algorithmName="SHA-512" hashValue="dTWvjRjqgtM7+e4WdxBAcVDY8DowCinBYBBv9T/iqt1LbTZudVAWy2R3ID5UjgxIcS4+851DbTH1iWymJNRFVg==" saltValue="SEhDQ/XONf1u41C4QzUrZg==" spinCount="100000" sheet="1" objects="1" scenarios="1"/>
  <dataValidations xWindow="1300" yWindow="864" count="2">
    <dataValidation type="list" showInputMessage="1" showErrorMessage="1" errorTitle="Invalid Choice" error="You must select a letter from the dropdown list (A, B, C, or D)" promptTitle="Select Maturity" prompt="Please select an option from A to D based on your team's current operations" sqref="D2:D9 D17" xr:uid="{509BDBE0-139A-45CF-85F3-A20E0266477C}">
      <formula1>"A,B,C,D"</formula1>
    </dataValidation>
    <dataValidation type="list" allowBlank="1" showInputMessage="1" showErrorMessage="1" errorTitle="Invalid Choice" error="You must select a letter from the dropdown list (A, B, C, or D)" promptTitle="Select Maturity" prompt="Please select an option from A to D based on your team's current operations" sqref="D10:D16 D18:D47 D48" xr:uid="{218ED69B-9501-4E28-A2A3-34AB43F67C43}">
      <formula1>"A,B,C,D"</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D14C9-A019-4A4F-9EC1-2104829600EF}">
  <sheetPr codeName="Sheet2"/>
  <dimension ref="A1:C27"/>
  <sheetViews>
    <sheetView tabSelected="1" topLeftCell="A4" workbookViewId="0">
      <selection activeCell="C9" sqref="C9"/>
    </sheetView>
  </sheetViews>
  <sheetFormatPr defaultRowHeight="14.4" x14ac:dyDescent="0.3"/>
  <cols>
    <col min="1" max="1" width="60.109375" customWidth="1"/>
    <col min="2" max="2" width="32.109375" customWidth="1"/>
    <col min="3" max="3" width="68.44140625" customWidth="1"/>
  </cols>
  <sheetData>
    <row r="1" spans="1:3" ht="21" x14ac:dyDescent="0.4">
      <c r="A1" s="5" t="s">
        <v>4</v>
      </c>
      <c r="B1" s="5" t="s">
        <v>5</v>
      </c>
      <c r="C1" s="2" t="s">
        <v>128</v>
      </c>
    </row>
    <row r="2" spans="1:3" ht="18" x14ac:dyDescent="0.35">
      <c r="A2" s="2" t="s">
        <v>16</v>
      </c>
      <c r="B2" s="25">
        <f>AVERAGEIF(Inputs!A:A, A2, Inputs!E:E)</f>
        <v>4</v>
      </c>
    </row>
    <row r="3" spans="1:3" ht="18" x14ac:dyDescent="0.35">
      <c r="A3" s="3" t="s">
        <v>17</v>
      </c>
      <c r="B3" s="25">
        <f>AVERAGEIF(Inputs!A:A, A3, Inputs!E:E)</f>
        <v>4</v>
      </c>
    </row>
    <row r="4" spans="1:3" ht="18" x14ac:dyDescent="0.35">
      <c r="A4" s="2" t="s">
        <v>41</v>
      </c>
      <c r="B4" s="25">
        <f>AVERAGEIF(Inputs!A:A, A4, Inputs!E:E)</f>
        <v>4</v>
      </c>
    </row>
    <row r="5" spans="1:3" ht="18" x14ac:dyDescent="0.35">
      <c r="A5" s="2" t="s">
        <v>59</v>
      </c>
      <c r="B5" s="25">
        <f>AVERAGEIF(Inputs!A:A, A5, Inputs!E:E)</f>
        <v>4</v>
      </c>
    </row>
    <row r="6" spans="1:3" ht="18" x14ac:dyDescent="0.35">
      <c r="A6" s="2" t="s">
        <v>76</v>
      </c>
      <c r="B6" s="25">
        <f>AVERAGEIF(Inputs!A:A, A6, Inputs!E:E)</f>
        <v>4</v>
      </c>
    </row>
    <row r="7" spans="1:3" ht="18" x14ac:dyDescent="0.35">
      <c r="A7" s="2" t="s">
        <v>94</v>
      </c>
      <c r="B7" s="25">
        <f>AVERAGEIF(Inputs!A:A, A7, Inputs!E:E)</f>
        <v>4</v>
      </c>
    </row>
    <row r="8" spans="1:3" ht="21" x14ac:dyDescent="0.4">
      <c r="C8" s="5" t="s">
        <v>93</v>
      </c>
    </row>
    <row r="9" spans="1:3" ht="58.8" customHeight="1" x14ac:dyDescent="0.3">
      <c r="C9" s="23" t="str" cm="1">
        <f t="array" aca="1" ref="C9" ca="1">_xlfn.IFS(
    Inputs!E35 = 1,
    "STATE 1 - SYSTEM RETIREMENT PHASE: Target workload is flagged as sunset/decommission mode. Halt all cloud migration planning to prevent stranded capital waste.",
    COUNTIF(Inputs!E2:E48, 1) &gt; 15,
    "STATE 2 - CRITICAL CAPABILITY COLLAPSE: Extreme operational gaps (&gt;15 zeros/ones). 
               Total organizational transformation and external engineering injection required before infrastructure kickoff.",
    COUNTIF(Inputs!E2:E48, 1) &gt; 8,
    "STATE 3 - RESTRUCTURE &amp; REMEDIATE: Legacy Operating Model. Fragmented foundational skills. 
               Establish a mandatory CCoE and build automated onboarding training pipelines immediately.",
    AVERAGEIF(Inputs!A2:A48, "Security Perspective:", Inputs!E2:E48) &lt; 2,
    "STATE 4 - SECURITY LANDING ZONE BLOCK: High-risk isolation posture. Multi-tenant IAM, edge defenses, and data encryption metrics are deficient. 
               Halt active migrations until core security guardrails are operationalized.",
    AVERAGEIF(Inputs!A2:A48, "Governance Perspective:", Inputs!E2:E48) &lt; 2,
    "STATE 5 - FINOPS BUDGETARY ALERT: High financial bleed risk. Cloud billing transparency, project tagging controls, and allocation structures are reactive. 
               Impose cost gates before environment scaling.",
    AND(AVERAGEIF(Inputs!A2:A48, "Platform Perspective:", Inputs!E2:E48) &lt; 2, AVERAGEIF(Inputs!A2:E48, "Operations Perspective:", Inputs!E2:E48) &lt; 2),
    "STATE 6 - TECHNICAL DEBT SATURATION: Combined Infrastructure &amp; Operations deficit. App monitoring frameworks and provisioning engines are manual. 
 	       Modernize deployment pipelines before code movements.",
    AVERAGEIF(Inputs!A2:A48, "Human Perspective:", Inputs!E2:E48) &lt; 2,
    "STATE 7 - ORGANIZATIONAL RESISTANCE ANOMALY: Team/Culture friction block. High talent gap and missing change acceleration frameworks. 
               Focus exclusively on upskilling and sponsor alignment workshops.",
    AVERAGEIF(Inputs!A2:A48, "Business Perspective:", Inputs!E2:E48) &lt; 2,
    "STATE 8 - STRATEGIC ALIGNMENT DISCONNECT: Tech-driven silo trap. Cloud roadmaps are detached from commercial monetization goals and business case metrics. 
               Re-align executive sponsorship budgets.",
    AND(AVERAGE(Inputs!E2:E48) &gt;= 3.5, COUNTIF(Inputs!E2:E48, "&lt;3") = 0),
    "STATE 9 - ULTRALIGHT COMPOSABLE MESH: Elite Multi-Cloud Fabric (Maturity &gt;= 3.5 with zero items below Level 3). 
	       Optimized for autonomous edge pipelines and real-time distributed data networks.",
    AVERAGE(Inputs!E2:E48) &gt;= 3.5,
    "STATE 10 - FEDERATED DECENTRALIZED PLATFORM: Modern Digital Enterprise. High baseline capability. 
		Product teams can safely auto-provision resources natively using automated Policy-as-Code guardrails.",
    AVERAGE(Inputs!E2:E48) &gt;= 3,
    "STATE 11 - ACCELERATED CENTRAL CCoE: Scaled Cloud Practice. Core landing zones, foundational blue-printing, and cross-functional expert guilds 
                are successfully accelerating standard workload onboarding.",
    AVERAGE(Inputs!E2:E48) &gt;= 2.5,
    "STATE 12 - OPERATIONAL CORE ESTABLISHED: Standard Adoption. Shared platform templates and central security configurations are stable. 
                Strategy needs to pivot from migration toward active cost optimization.",
    AVERAGE(Inputs!E2:E48) &gt;= 2,
    "STATE 13 - SILOED TACTICAL PROTOTYPING: Fragmented Project Adoption. Cloud usage is restricted to ad-hoc business unit sandboxes. Focus on unifying corporate governance and centralizing architecture frameworks.",
    AVERAGE(Inputs!E2:E48) &gt;= 1.5,
    "STATE 14 - CHAOTIC AD-HOC DEPLOYMENT: Initial reactive footprint. High frequency of manual infrastructure clicks, missing audit trails, and unpredictable billing. Freeze expansions for architectural assessment.",
    TRUE,
    "STATE 15 - INVALID MATURITY RANGE: Re-assess organizational ready state parameters. Verify all row calculations and dropdown inputs match framework mapping rules."
)</f>
        <v>STATE 9 - ULTRALIGHT COMPOSABLE MESH: Elite Multi-Cloud Fabric (Maturity &gt;= 3.5 with zero items below Level 3). 
	       Optimized for autonomous edge pipelines and real-time distributed data networks.</v>
      </c>
    </row>
    <row r="27" spans="1:1" ht="15.6" x14ac:dyDescent="0.3">
      <c r="A27" s="18" t="s">
        <v>130</v>
      </c>
    </row>
  </sheetData>
  <sheetProtection algorithmName="SHA-512" hashValue="0JdBKgFvl3AEA5Ukt34Fh6UTPsnOhg8ERn5Mzv1k6qYqakAR6oS7sOGhYU5ZPpNfJl7+Qg/m6c4PBAgqZ4AvIg==" saltValue="+Gq8wWLkQe7/Va9MPZTv/Q==" spinCount="100000" sheet="1" objects="1" scenarios="1"/>
  <conditionalFormatting sqref="B10">
    <cfRule type="containsText" dxfId="32" priority="61" stopIfTrue="1" operator="containsText" text="STATE 15">
      <formula>NOT(ISERROR(SEARCH("STATE 15",B10)))</formula>
    </cfRule>
    <cfRule type="containsText" dxfId="31" priority="62" stopIfTrue="1" operator="containsText" text="STATE 14:">
      <formula>NOT(ISERROR(SEARCH("STATE 14:",B10)))</formula>
    </cfRule>
    <cfRule type="containsText" dxfId="30" priority="63" stopIfTrue="1" operator="containsText" text="STATE 13:">
      <formula>NOT(ISERROR(SEARCH("STATE 13:",B10)))</formula>
    </cfRule>
    <cfRule type="containsText" dxfId="29" priority="64" stopIfTrue="1" operator="containsText" text="STATE 12:">
      <formula>NOT(ISERROR(SEARCH("STATE 12:",B10)))</formula>
    </cfRule>
    <cfRule type="containsText" dxfId="28" priority="65" stopIfTrue="1" operator="containsText" text="STATE 11:">
      <formula>NOT(ISERROR(SEARCH("STATE 11:",B10)))</formula>
    </cfRule>
    <cfRule type="containsText" dxfId="27" priority="66" stopIfTrue="1" operator="containsText" text="STATE 10:">
      <formula>NOT(ISERROR(SEARCH("STATE 10:",B10)))</formula>
    </cfRule>
    <cfRule type="containsText" dxfId="26" priority="67" stopIfTrue="1" operator="containsText" text="STATE 9:">
      <formula>NOT(ISERROR(SEARCH("STATE 9:",B10)))</formula>
    </cfRule>
    <cfRule type="containsText" dxfId="25" priority="68" stopIfTrue="1" operator="containsText" text="STATE 8:">
      <formula>NOT(ISERROR(SEARCH("STATE 8:",B10)))</formula>
    </cfRule>
    <cfRule type="containsText" dxfId="24" priority="69" stopIfTrue="1" operator="containsText" text="STATE 7:">
      <formula>NOT(ISERROR(SEARCH("STATE 7:",B10)))</formula>
    </cfRule>
    <cfRule type="containsText" dxfId="23" priority="70" stopIfTrue="1" operator="containsText" text="STATE 6:">
      <formula>NOT(ISERROR(SEARCH("STATE 6:",B10)))</formula>
    </cfRule>
    <cfRule type="containsText" dxfId="22" priority="71" stopIfTrue="1" operator="containsText" text="STATE 5:">
      <formula>NOT(ISERROR(SEARCH("STATE 5:",B10)))</formula>
    </cfRule>
    <cfRule type="containsText" dxfId="21" priority="72" stopIfTrue="1" operator="containsText" text="STATE 4:">
      <formula>NOT(ISERROR(SEARCH("STATE 4:",B10)))</formula>
    </cfRule>
    <cfRule type="containsText" dxfId="20" priority="73" stopIfTrue="1" operator="containsText" text="STATE 3:">
      <formula>NOT(ISERROR(SEARCH("STATE 3:",B10)))</formula>
    </cfRule>
    <cfRule type="containsText" dxfId="19" priority="74" stopIfTrue="1" operator="containsText" text="STATE 2:">
      <formula>NOT(ISERROR(SEARCH("STATE 2:",B10)))</formula>
    </cfRule>
    <cfRule type="containsText" dxfId="18" priority="75" stopIfTrue="1" operator="containsText" text="STATE 1:">
      <formula>NOT(ISERROR(SEARCH("STATE 1:",B10)))</formula>
    </cfRule>
  </conditionalFormatting>
  <conditionalFormatting sqref="C9">
    <cfRule type="containsText" dxfId="17" priority="1" stopIfTrue="1" operator="containsText" text="STATE 15">
      <formula>NOT(ISERROR(SEARCH("STATE 15",C9)))</formula>
    </cfRule>
    <cfRule type="containsText" dxfId="16" priority="2" stopIfTrue="1" operator="containsText" text="STATE 14:">
      <formula>NOT(ISERROR(SEARCH("STATE 14:",C9)))</formula>
    </cfRule>
    <cfRule type="containsText" dxfId="15" priority="3" stopIfTrue="1" operator="containsText" text="STATE 13:">
      <formula>NOT(ISERROR(SEARCH("STATE 13:",C9)))</formula>
    </cfRule>
    <cfRule type="containsText" dxfId="14" priority="4" stopIfTrue="1" operator="containsText" text="STATE 12:">
      <formula>NOT(ISERROR(SEARCH("STATE 12:",C9)))</formula>
    </cfRule>
    <cfRule type="containsText" dxfId="13" priority="5" stopIfTrue="1" operator="containsText" text="STATE 11:">
      <formula>NOT(ISERROR(SEARCH("STATE 11:",C9)))</formula>
    </cfRule>
    <cfRule type="containsText" dxfId="12" priority="6" stopIfTrue="1" operator="containsText" text="STATE 10:">
      <formula>NOT(ISERROR(SEARCH("STATE 10:",C9)))</formula>
    </cfRule>
    <cfRule type="containsText" dxfId="11" priority="7" stopIfTrue="1" operator="containsText" text="STATE 9:">
      <formula>NOT(ISERROR(SEARCH("STATE 9:",C9)))</formula>
    </cfRule>
    <cfRule type="containsText" dxfId="10" priority="8" stopIfTrue="1" operator="containsText" text="STATE 8:">
      <formula>NOT(ISERROR(SEARCH("STATE 8:",C9)))</formula>
    </cfRule>
    <cfRule type="containsText" dxfId="9" priority="9" stopIfTrue="1" operator="containsText" text="STATE 7:">
      <formula>NOT(ISERROR(SEARCH("STATE 7:",C9)))</formula>
    </cfRule>
    <cfRule type="containsText" dxfId="8" priority="10" stopIfTrue="1" operator="containsText" text="STATE 6:">
      <formula>NOT(ISERROR(SEARCH("STATE 6:",C9)))</formula>
    </cfRule>
    <cfRule type="containsText" dxfId="7" priority="11" stopIfTrue="1" operator="containsText" text="STATE 5:">
      <formula>NOT(ISERROR(SEARCH("STATE 5:",C9)))</formula>
    </cfRule>
    <cfRule type="containsText" dxfId="6" priority="12" stopIfTrue="1" operator="containsText" text="STATE 4:">
      <formula>NOT(ISERROR(SEARCH("STATE 4:",C9)))</formula>
    </cfRule>
    <cfRule type="containsText" dxfId="5" priority="13" stopIfTrue="1" operator="containsText" text="STATE 3:">
      <formula>NOT(ISERROR(SEARCH("STATE 3:",C9)))</formula>
    </cfRule>
    <cfRule type="containsText" dxfId="4" priority="14" stopIfTrue="1" operator="containsText" text="STATE 2:">
      <formula>NOT(ISERROR(SEARCH("STATE 2:",C9)))</formula>
    </cfRule>
    <cfRule type="containsText" dxfId="3" priority="15" stopIfTrue="1" operator="containsText" text="STATE 1:">
      <formula>NOT(ISERROR(SEARCH("STATE 1:",C9)))</formula>
    </cfRule>
  </conditionalFormatting>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FF28C-5E45-4C32-B0DE-9C6ED4B04273}">
  <sheetPr codeName="Sheet3"/>
  <dimension ref="A1:B25"/>
  <sheetViews>
    <sheetView workbookViewId="0">
      <selection activeCell="A23" sqref="A23"/>
    </sheetView>
  </sheetViews>
  <sheetFormatPr defaultRowHeight="14.4" x14ac:dyDescent="0.3"/>
  <cols>
    <col min="1" max="1" width="111.88671875" customWidth="1"/>
    <col min="2" max="2" width="94.77734375" customWidth="1"/>
  </cols>
  <sheetData>
    <row r="1" spans="1:2" ht="31.8" customHeight="1" x14ac:dyDescent="0.4">
      <c r="A1" s="12" t="s">
        <v>109</v>
      </c>
      <c r="B1" s="2" t="s">
        <v>129</v>
      </c>
    </row>
    <row r="2" spans="1:2" ht="225.6" customHeight="1" x14ac:dyDescent="0.3">
      <c r="A2" s="14" t="s">
        <v>110</v>
      </c>
      <c r="B2" s="14" t="s">
        <v>111</v>
      </c>
    </row>
    <row r="3" spans="1:2" ht="22.8" customHeight="1" x14ac:dyDescent="0.3">
      <c r="A3" s="14"/>
      <c r="B3" s="14"/>
    </row>
    <row r="4" spans="1:2" ht="176.4" customHeight="1" x14ac:dyDescent="0.3">
      <c r="A4" s="14" t="s">
        <v>112</v>
      </c>
      <c r="B4" s="15"/>
    </row>
    <row r="5" spans="1:2" ht="18.600000000000001" customHeight="1" x14ac:dyDescent="0.3">
      <c r="A5" s="14"/>
      <c r="B5" s="15"/>
    </row>
    <row r="6" spans="1:2" ht="21" x14ac:dyDescent="0.3">
      <c r="A6" s="16" t="s">
        <v>113</v>
      </c>
      <c r="B6" s="15"/>
    </row>
    <row r="7" spans="1:2" ht="237.6" customHeight="1" x14ac:dyDescent="0.3">
      <c r="A7" s="14" t="s">
        <v>115</v>
      </c>
      <c r="B7" s="14" t="s">
        <v>114</v>
      </c>
    </row>
    <row r="8" spans="1:2" ht="25.8" customHeight="1" x14ac:dyDescent="0.3">
      <c r="A8" s="14"/>
      <c r="B8" s="14"/>
    </row>
    <row r="9" spans="1:2" ht="222.6" customHeight="1" x14ac:dyDescent="0.3">
      <c r="A9" s="14" t="s">
        <v>116</v>
      </c>
      <c r="B9" s="14" t="s">
        <v>117</v>
      </c>
    </row>
    <row r="10" spans="1:2" ht="22.2" customHeight="1" x14ac:dyDescent="0.3">
      <c r="A10" s="17"/>
      <c r="B10" s="15"/>
    </row>
    <row r="11" spans="1:2" ht="234.6" customHeight="1" x14ac:dyDescent="0.3">
      <c r="A11" s="14" t="s">
        <v>118</v>
      </c>
      <c r="B11" s="15"/>
    </row>
    <row r="12" spans="1:2" ht="25.8" customHeight="1" x14ac:dyDescent="0.3">
      <c r="A12" s="14"/>
      <c r="B12" s="15"/>
    </row>
    <row r="13" spans="1:2" ht="21" x14ac:dyDescent="0.3">
      <c r="A13" s="16" t="s">
        <v>119</v>
      </c>
      <c r="B13" s="15"/>
    </row>
    <row r="14" spans="1:2" ht="234" x14ac:dyDescent="0.3">
      <c r="A14" s="14" t="s">
        <v>120</v>
      </c>
      <c r="B14" s="14" t="s">
        <v>121</v>
      </c>
    </row>
    <row r="15" spans="1:2" ht="26.4" customHeight="1" x14ac:dyDescent="0.3">
      <c r="A15" s="14"/>
      <c r="B15" s="14"/>
    </row>
    <row r="16" spans="1:2" ht="216" x14ac:dyDescent="0.3">
      <c r="A16" s="14" t="s">
        <v>122</v>
      </c>
      <c r="B16" s="14" t="s">
        <v>123</v>
      </c>
    </row>
    <row r="17" spans="1:2" ht="25.8" customHeight="1" x14ac:dyDescent="0.3">
      <c r="A17" s="17"/>
      <c r="B17" s="15"/>
    </row>
    <row r="18" spans="1:2" ht="216" x14ac:dyDescent="0.3">
      <c r="A18" s="14" t="s">
        <v>124</v>
      </c>
      <c r="B18" s="14" t="s">
        <v>125</v>
      </c>
    </row>
    <row r="19" spans="1:2" x14ac:dyDescent="0.3">
      <c r="A19" s="17"/>
      <c r="B19" s="15"/>
    </row>
    <row r="20" spans="1:2" ht="21" x14ac:dyDescent="0.4">
      <c r="A20" s="13" t="s">
        <v>126</v>
      </c>
    </row>
    <row r="21" spans="1:2" ht="180" x14ac:dyDescent="0.35">
      <c r="A21" s="3" t="s">
        <v>127</v>
      </c>
    </row>
    <row r="22" spans="1:2" x14ac:dyDescent="0.3">
      <c r="A22" s="1"/>
    </row>
    <row r="23" spans="1:2" ht="15.6" x14ac:dyDescent="0.3">
      <c r="A23" s="19" t="s">
        <v>130</v>
      </c>
    </row>
    <row r="24" spans="1:2" x14ac:dyDescent="0.3">
      <c r="A24" s="1"/>
    </row>
    <row r="25" spans="1:2" x14ac:dyDescent="0.3">
      <c r="A25" s="1"/>
    </row>
  </sheetData>
  <sheetProtection algorithmName="SHA-512" hashValue="WSdhEqq1Yt9z8acMe6CaVRCoESKxNeJtbhFD9tnMuLYBF070cJkTJYdAoYjQouWQ4SUaU0abznVzqWIp3eiijw==" saltValue="L/9GqT2zC57Tg96zNXksmg==" spinCount="100000" sheet="1" objects="1" scenarios="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Inputs</vt:lpstr>
      <vt:lpstr>Dashboards</vt:lpstr>
      <vt:lpstr>Descriptions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Kulkarni</dc:creator>
  <cp:lastModifiedBy>Amit Kulkarni</cp:lastModifiedBy>
  <dcterms:created xsi:type="dcterms:W3CDTF">2026-06-27T09:17:23Z</dcterms:created>
  <dcterms:modified xsi:type="dcterms:W3CDTF">2026-10-30T18:03:15Z</dcterms:modified>
</cp:coreProperties>
</file>