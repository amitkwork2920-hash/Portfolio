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Amit\eBooks\Interview Quick Rampup\Fractional Architect Consulting &amp; Freelancing\UPWORK &amp; TOPMATE FILES AND PRODUCTS\SWIFT_SECURITY_ASSESSMENT\"/>
    </mc:Choice>
  </mc:AlternateContent>
  <xr:revisionPtr revIDLastSave="0" documentId="13_ncr:1_{0002D8FF-C24C-4FAD-A14E-96E64FE8AEDD}" xr6:coauthVersionLast="47" xr6:coauthVersionMax="47" xr10:uidLastSave="{00000000-0000-0000-0000-000000000000}"/>
  <bookViews>
    <workbookView xWindow="-108" yWindow="-108" windowWidth="23256" windowHeight="12456" xr2:uid="{D62D5DFD-F87A-4D1C-B4C2-9718B4BFE1A3}"/>
  </bookViews>
  <sheets>
    <sheet name="User_Responses" sheetId="1" r:id="rId1"/>
    <sheet name="Results" sheetId="3" r:id="rId2"/>
    <sheet name="Results Interpretation"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a="1"/>
  <c r="D4" i="1" a="1"/>
  <c r="D5" i="1" a="1"/>
  <c r="D6" i="1" a="1"/>
  <c r="D7" i="1" a="1"/>
  <c r="D8" i="1" a="1"/>
  <c r="D9" i="1" a="1"/>
  <c r="D10" i="1" a="1"/>
  <c r="D11" i="1" a="1"/>
  <c r="D12" i="1" a="1"/>
  <c r="D13" i="1" a="1"/>
  <c r="D14" i="1" a="1"/>
  <c r="D15" i="1" a="1"/>
  <c r="D16" i="1" a="1"/>
  <c r="D17" i="1" a="1"/>
  <c r="D18" i="1" a="1"/>
  <c r="D19" i="1" a="1"/>
  <c r="D20" i="1" a="1"/>
  <c r="D21" i="1" a="1"/>
  <c r="D22" i="1" a="1"/>
  <c r="D23" i="1" a="1"/>
  <c r="D24" i="1" a="1"/>
  <c r="D25" i="1" a="1"/>
  <c r="D26" i="1" a="1"/>
  <c r="D27" i="1" a="1"/>
  <c r="D28" i="1" a="1"/>
  <c r="D29" i="1" a="1"/>
  <c r="D30" i="1" a="1"/>
  <c r="D31" i="1" a="1"/>
  <c r="B7" i="3" s="1"/>
  <c r="D7" i="3" s="1"/>
  <c r="D32" i="1" a="1"/>
  <c r="D33" i="1" a="1"/>
  <c r="D34" i="1" a="1"/>
  <c r="D35" i="1" a="1"/>
  <c r="D36" i="1" a="1"/>
  <c r="D37" i="1" a="1"/>
  <c r="D38" i="1" a="1"/>
  <c r="D39" i="1" a="1"/>
  <c r="D40" i="1" a="1"/>
  <c r="D41" i="1" a="1"/>
  <c r="D42" i="1" a="1"/>
  <c r="D43" i="1" a="1"/>
  <c r="D44" i="1" a="1"/>
  <c r="D45" i="1" a="1"/>
  <c r="D46" i="1" a="1"/>
  <c r="D47" i="1" a="1"/>
  <c r="D48" i="1" a="1"/>
  <c r="D49" i="1" a="1"/>
  <c r="D50" i="1" a="1"/>
  <c r="D51" i="1" a="1"/>
  <c r="D52" i="1" a="1"/>
  <c r="D53" i="1" a="1"/>
  <c r="D54" i="1" a="1"/>
  <c r="D55" i="1" a="1"/>
  <c r="D56" i="1" a="1"/>
  <c r="D57" i="1" a="1"/>
  <c r="D58" i="1" a="1"/>
  <c r="D59" i="1" a="1"/>
  <c r="D60" i="1" a="1"/>
  <c r="D61" i="1" a="1"/>
  <c r="D62" i="1" a="1"/>
  <c r="D63" i="1" a="1"/>
  <c r="D64" i="1" a="1"/>
  <c r="D65" i="1" a="1"/>
  <c r="D66" i="1" a="1"/>
  <c r="D67" i="1" a="1"/>
  <c r="D68" i="1" a="1"/>
  <c r="D69" i="1" a="1"/>
  <c r="B15" i="3" s="1"/>
  <c r="D15" i="3" s="1"/>
  <c r="D70" i="1" a="1"/>
  <c r="D71" i="1" a="1"/>
  <c r="D72" i="1" a="1"/>
  <c r="D73" i="1" a="1"/>
  <c r="D74" i="1" a="1"/>
  <c r="D75" i="1" a="1"/>
  <c r="D76" i="1" a="1"/>
  <c r="D77" i="1" a="1"/>
  <c r="D78" i="1" a="1"/>
  <c r="D2" i="1" a="1"/>
  <c r="B16" i="3" l="1"/>
  <c r="D16" i="3" s="1"/>
  <c r="B14" i="3"/>
  <c r="D14" i="3" s="1"/>
  <c r="B13" i="3"/>
  <c r="D13" i="3" s="1"/>
  <c r="B12" i="3"/>
  <c r="D12" i="3" s="1"/>
  <c r="B11" i="3"/>
  <c r="D11" i="3" s="1"/>
  <c r="B10" i="3"/>
  <c r="D10" i="3" s="1"/>
  <c r="B9" i="3"/>
  <c r="D9" i="3" s="1"/>
  <c r="B8" i="3"/>
  <c r="D8" i="3" s="1"/>
  <c r="B6" i="3"/>
  <c r="D6" i="3" s="1"/>
  <c r="B5" i="3"/>
  <c r="D5" i="3" s="1"/>
  <c r="B4" i="3"/>
  <c r="D4" i="3" s="1"/>
  <c r="B3" i="3"/>
  <c r="D3" i="3" s="1"/>
  <c r="B2" i="3"/>
  <c r="D2" i="3" s="1"/>
  <c r="C19" i="3" l="1"/>
  <c r="C2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<sst xmlns="http://schemas.openxmlformats.org/spreadsheetml/2006/main" count="293" uniqueCount="123">
  <si>
    <t>Category</t>
  </si>
  <si>
    <t>Client-Specific Question</t>
  </si>
  <si>
    <t>User Priority</t>
  </si>
  <si>
    <t>User Score</t>
  </si>
  <si>
    <t>SWIFT Environment Protection</t>
  </si>
  <si>
    <r>
      <rPr>
        <u/>
        <sz val="12"/>
        <color theme="1"/>
        <rFont val="Calibri"/>
        <family val="2"/>
        <scheme val="minor"/>
      </rPr>
      <t>How securely segregated is the SWIFT secure zone from the general enterprise Active Directory infrastructure?</t>
    </r>
    <r>
      <rPr>
        <sz val="12"/>
        <color theme="1"/>
        <rFont val="Calibri"/>
        <family val="2"/>
        <scheme val="minor"/>
      </rPr>
      <t xml:space="preserve">
A) The SWIFT zone uses a completely isolated, single-purpose AD forest with zero trust trusts to enterprise AD.
B) SWIFT systems reside in a dedicated child domain, but share a forest root with general enterprise IT.
C) Systems are segregated using AD groups and OU permissions within the primary enterprise domain controller.
D) SWIFT systems share the same enterprise Active Directory infrastructure and admin accounts with no logical segregation .</t>
    </r>
  </si>
  <si>
    <r>
      <rPr>
        <u/>
        <sz val="12"/>
        <color theme="1"/>
        <rFont val="Calibri"/>
        <family val="2"/>
        <scheme val="minor"/>
      </rPr>
      <t>What level of strictness is applied to firewall rule configurations gating lateral access to local SWIFT infrastructure?</t>
    </r>
    <r>
      <rPr>
        <sz val="12"/>
        <color theme="1"/>
        <rFont val="Calibri"/>
        <family val="2"/>
        <scheme val="minor"/>
      </rPr>
      <t xml:space="preserve">
A) Firewall rules enforce strict micro-segmentation, whitelisting only explicitly verified IP/port pairs with real-time anomaly. 
B) Rules are restricted to required business flows, but use broad subnet ranges rather than granular endpoint definitions.
C) Basic firewall filtering is active, but rules are rarely reviewed and contain legacy or overly permissive definitions.
D) Firewall rules allow broad inbound/outbound connections from general corporate networks into the SWIFT perimeter.</t>
    </r>
  </si>
  <si>
    <r>
      <rPr>
        <u/>
        <sz val="12"/>
        <color theme="1"/>
        <rFont val="Calibri"/>
        <family val="2"/>
        <scheme val="minor"/>
      </rPr>
      <t xml:space="preserve">How effectively are supporting infrastructure components (e.g., patching, scanning servers) isolated from the SWIFT zone?
</t>
    </r>
    <r>
      <rPr>
        <sz val="12"/>
        <color theme="1"/>
        <rFont val="Calibri"/>
        <family val="2"/>
        <scheme val="minor"/>
      </rPr>
      <t xml:space="preserve">
A) Patching and scanning servers are deployed natively inside the secure zone and cannot communicate with external assets.
B) Shared corporate infrastructure is used but restricted via multi-factor jump hosts and specialized access lists.
C) Infrastructure servers reside in general IT but have unrestricted administrative credentials to access SWIFT nodes.
D) General IT management tools (SCCM, WSUS, vulnerability scanners) push updates to SWIFT zone without structural boundaries </t>
    </r>
  </si>
  <si>
    <t>B</t>
  </si>
  <si>
    <r>
      <rPr>
        <u/>
        <sz val="12"/>
        <color theme="1"/>
        <rFont val="Calibri"/>
        <family val="2"/>
        <scheme val="minor"/>
      </rPr>
      <t>To what extent are internal data exfiltration risks managed via technical blocks on removable media?</t>
    </r>
    <r>
      <rPr>
        <sz val="12"/>
        <color theme="1"/>
        <rFont val="Calibri"/>
        <family val="2"/>
        <scheme val="minor"/>
      </rPr>
      <t xml:space="preserve">
A) Removable media drives are strictly disabled at the OS/kernel level across all zone endpoints via centralized policy.
B) Mass storage is blocked by default, but exceptions are manually provisioned for temporary administration needs.
C) Use of USB or external storage relies purely on an unmonitored corporate policy without technical enforcement.
D) Removable media drives are completely unblocked, allowing files and configurations to be copied freely.</t>
    </r>
  </si>
  <si>
    <r>
      <rPr>
        <u/>
        <sz val="12"/>
        <color theme="1"/>
        <rFont val="Calibri"/>
        <family val="2"/>
        <scheme val="minor"/>
      </rPr>
      <t>How robust are the credential-harvesting defenses guarding VPN pathways utilized by finance staff?</t>
    </r>
    <r>
      <rPr>
        <sz val="12"/>
        <color theme="1"/>
        <rFont val="Calibri"/>
        <family val="2"/>
        <scheme val="minor"/>
      </rPr>
      <t xml:space="preserve">
A) VPN paths mandate phishing-resistant hardware keys combined with rigorous device health-attestation checks.
B) MFA is enforced via standard mobile app push notifications, but device posture verification is missing.
C) Ingress paths rely on SMS OTP or easily phishable software tokens without contextual access policies.
D) Access paths rely entirely on static usernames and passwords without secondary verification factors.</t>
    </r>
  </si>
  <si>
    <t>Operating System Privileged Account Control</t>
  </si>
  <si>
    <r>
      <t xml:space="preserve">Are root/administrator system logs protected against unauthorized, untraceable deletion or manipulation by privileged users?
</t>
    </r>
    <r>
      <rPr>
        <sz val="12"/>
        <color theme="1"/>
        <rFont val="Calibri"/>
        <family val="2"/>
        <scheme val="minor"/>
      </rPr>
      <t>A) Root and administrator logs are streamed out in real-time to a WORM (Write-Once-Read-Many) centralized SIEM.
B) Audit logs are sent to a central logging server daily, but local log file modification permissions remain unhardened.
C) System events are collected locally on the system, making them vulnerable to deletion by a malicious admin.
D) Privileged activities are completely untraceable, and system actions cannot be tied back to a specific individual.</t>
    </r>
  </si>
  <si>
    <r>
      <t xml:space="preserve">How effectively is kernel vulnerability patch timing managed to prevent local privilege escalation on SWIFT nodes? 
</t>
    </r>
    <r>
      <rPr>
        <sz val="12"/>
        <color theme="1"/>
        <rFont val="Calibri"/>
        <family val="2"/>
        <scheme val="minor"/>
      </rPr>
      <t xml:space="preserve">
A) Exploit mitigation tools are active, and kernel vulnerabilities are patched within 72 hours of public vendor release.
B) Patches are deployed monthly, but the system lacks proactive runtime checks to block privilege escalation.
C) Kernel patches are delayed by over 6 months due to legacy software compatibility or lack of testing cycles.
D) Operating systems run highly legacy kernel versions with known unpatched root-execution vulnerabilities </t>
    </r>
  </si>
  <si>
    <r>
      <t xml:space="preserve">What controls restrict the use of administrative utilities (e.g., PowerShell, Bash) to run unmonitored custom scripts? 
</t>
    </r>
    <r>
      <rPr>
        <sz val="12"/>
        <color theme="1"/>
        <rFont val="Calibri"/>
        <family val="2"/>
        <scheme val="minor"/>
      </rPr>
      <t xml:space="preserve">
A) Utilities like PowerShell and Bash are locked down using constrained language modes and application whitelisting.
B) Execution policies are active, but administrators can bypass them to run unapproved scripts.
C) Tools are monitored by standard EDR, but any privileged account can execute arbitrary unvetted scripts natively.
D) Administrative shells are completely unmonitored and can execute any malicious script or tool </t>
    </r>
  </si>
  <si>
    <r>
      <t xml:space="preserve">How robust are your technical restrictions preventing memory dumping and credential extraction from administrator workstations?
</t>
    </r>
    <r>
      <rPr>
        <sz val="12"/>
        <color theme="1"/>
        <rFont val="Calibri"/>
        <family val="2"/>
        <scheme val="minor"/>
      </rPr>
      <t>A) LSASS protection, Credential Guard, and secure boot mechanics are strictly enforced to block memory scraping tools.
B) Standard endpoint security is deployed, but advanced OS-level memory isolation features remain disabled.
C) Local password hashes are cached indefinitely in cleartext or weak formats on administrative workstations.
D) Mimikatz or similar credential dumping utilities can run unimpeded to extract cached domain passwords.</t>
    </r>
  </si>
  <si>
    <r>
      <t xml:space="preserve">Are default OS administrator accounts systematically disabled or renamed across all active endpoints? 
</t>
    </r>
    <r>
      <rPr>
        <sz val="12"/>
        <color theme="1"/>
        <rFont val="Calibri"/>
        <family val="2"/>
        <scheme val="minor"/>
      </rPr>
      <t xml:space="preserve">
A) Default built-in OS administrative accounts are programmatically disabled, renamed, and managed via a LAPS framework.
B) Accounts are renamed manually, but passwords remain static across multiple nodes in the cluster.
C) Default accounts are left active, though they use complex strings that are rarely changed or updated.
D) Default accounts (root, administrator) use well-known out-of-the-box passwords and are left fully active.</t>
    </r>
  </si>
  <si>
    <t>Virtualization or Cloud Platform Protection</t>
  </si>
  <si>
    <r>
      <t xml:space="preserve">What mechanisms protect hypervisor or cloud orchestrator API layers from unauthorized configuration or security group manipulation? 
</t>
    </r>
    <r>
      <rPr>
        <b/>
        <u/>
        <sz val="12"/>
        <color theme="1"/>
        <rFont val="Calibri"/>
        <family val="2"/>
        <scheme val="minor"/>
      </rPr>
      <t xml:space="preserve">
</t>
    </r>
    <r>
      <rPr>
        <sz val="12"/>
        <color theme="1"/>
        <rFont val="Calibri"/>
        <family val="2"/>
        <scheme val="minor"/>
      </rPr>
      <t>A)</t>
    </r>
    <r>
      <rPr>
        <b/>
        <sz val="12"/>
        <color theme="1"/>
        <rFont val="Calibri"/>
        <family val="2"/>
        <scheme val="minor"/>
      </rPr>
      <t xml:space="preserve"> </t>
    </r>
    <r>
      <rPr>
        <sz val="12"/>
        <color theme="1"/>
        <rFont val="Calibri"/>
        <family val="2"/>
        <scheme val="minor"/>
      </rPr>
      <t>Access to management APIs requires dedicated multi-factor authentication coupled with rigorous IP whitelisting rules.
B) Orchestration consoles are restricted to an administrative network but do not mandate strong phishing-resistant MFA.
C) Cloud consoles are accessible directly over the internet using static user profiles with no network perimeter controls.
D) API endpoints are unmonitored and accessible via shared, static credentials with no orchestration layer filtering.</t>
    </r>
  </si>
  <si>
    <r>
      <t xml:space="preserve">What mechanisms protect hypervisor or cloud orchestrator API layers from unauthorized configuration or security group manipulation? 
</t>
    </r>
    <r>
      <rPr>
        <b/>
        <u/>
        <sz val="12"/>
        <color theme="1"/>
        <rFont val="Calibri"/>
        <family val="2"/>
        <scheme val="minor"/>
      </rPr>
      <t xml:space="preserve">
</t>
    </r>
    <r>
      <rPr>
        <sz val="12"/>
        <color theme="1"/>
        <rFont val="Calibri"/>
        <family val="2"/>
        <scheme val="minor"/>
      </rPr>
      <t>A) Backup instances are encrypted locally with customer-managed keys, and access configurations are validated by automated code scripts.
B) Backups are encrypted by default, but access permissions are audited manually on a periodic timeline.
C) VM snapshots are stored in shared buckets without explicit IAM boundary lockdowns or lifecycle alerts.
D) Storage instances are open to broad public directories, permitting unauthenticated download of SWIFT system disk images.</t>
    </r>
  </si>
  <si>
    <r>
      <t xml:space="preserve">How rigorously are container runtimes hardened against breakout attempts targeting hosting environments? 
</t>
    </r>
    <r>
      <rPr>
        <sz val="12"/>
        <color theme="1"/>
        <rFont val="Calibri"/>
        <family val="2"/>
        <scheme val="minor"/>
      </rPr>
      <t xml:space="preserve">
A) Environments deploy strict immutability controls alongside real-time container breakout detection tools.
B) Containers run under rootless context settings, but orchestrators rely on standard configuration templates without runtime scanning.
C) Runtimes run privileged orchestration blocks, exposing the base host to container-escape exploits.
D) Systems execute third-party container engines with unverified base images and wide open host directory mounts.</t>
    </r>
  </si>
  <si>
    <r>
      <t xml:space="preserve">What level of integration is applied to federated identity mechanisms to halt illegitimate privilege assumption?
</t>
    </r>
    <r>
      <rPr>
        <b/>
        <u/>
        <sz val="12"/>
        <color theme="1"/>
        <rFont val="Calibri"/>
        <family val="2"/>
        <scheme val="minor"/>
      </rPr>
      <t xml:space="preserve">
</t>
    </r>
    <r>
      <rPr>
        <sz val="12"/>
        <color theme="1"/>
        <rFont val="Calibri"/>
        <family val="2"/>
        <scheme val="minor"/>
      </rPr>
      <t xml:space="preserve">A) Cross-environment mappings require contextual authorization policies and hardware tokens for role switches.
B) Conditional rules check source regions, but lack automated token expiration timers on high-privilege federated roles.
C) Trust connections permit automatic escalation from standard internal groups to high-level cloud admin roles.
D) Federation setups contain zero validation steps, letting any compromised profile assume admin infrastructure roles </t>
    </r>
  </si>
  <si>
    <t>Restriction of Internet Access</t>
  </si>
  <si>
    <r>
      <t xml:space="preserve">How stringently do proxy servers inspect and restrict outbound web traffic originating directly from the SWIFT secure zone?
</t>
    </r>
    <r>
      <rPr>
        <sz val="12"/>
        <color theme="1"/>
        <rFont val="Calibri"/>
        <family val="2"/>
        <scheme val="minor"/>
      </rPr>
      <t>A) Perimeter nodes drop all outbound packets except to explicit SWIFT registry targets via authenticated forward proxies.
B) Proxies restrict outbound destinations by domain lists, but do not execute deep SSL inspection on payload contents.
C) Outbound rules allow broad internet browsing zones for any device registered on the local network path.
D) Local applications possess unhindered outbound routing to any external endpoint without proxy intervention</t>
    </r>
  </si>
  <si>
    <r>
      <t xml:space="preserve">What operational safeguards prevent air-gapped systems from executing covert communication channels like DNS tunneling? 
</t>
    </r>
    <r>
      <rPr>
        <sz val="12"/>
        <color theme="1"/>
        <rFont val="Calibri"/>
        <family val="2"/>
        <scheme val="minor"/>
      </rPr>
      <t xml:space="preserve">
A) Internal recursive name query servers drop unwhitelisted external requests and block recursive DNS lookups.
B) Logging utilities look for high-frequency TXT requests, but do not actively drop traffic based on tunnel behavior.
C) Systems allow any local server to issue outbound lookups to external nameservers directly over port 53.
D) Covert protocols like DNS tunneling or ICMP encapsulation bypass detection perimeters with zero filtering</t>
    </r>
  </si>
  <si>
    <r>
      <t xml:space="preserve">Are local web browsers and office applications hardened against active exploits hiding inside untrusted payloads?
</t>
    </r>
    <r>
      <rPr>
        <sz val="12"/>
        <color theme="1"/>
        <rFont val="Calibri"/>
        <family val="2"/>
        <scheme val="minor"/>
      </rPr>
      <t xml:space="preserve">A) Office document managers use strict sandbox runtimes with macro executions disabled completely by policy.
B) Protected View configurations are deployed, but operators retain the ability to activate macros with one click.
C) Runtimes update on long delays, allowing old document-embedded exploits to execute without warning.
D) Local application tools process web-embedded scripts natively, allowing arbitrary browser exploits to deploy payloads </t>
    </r>
  </si>
  <si>
    <r>
      <t xml:space="preserve">How securely protected are internal software update mechanisms to prevent malicious staging and payload delivery? 
</t>
    </r>
    <r>
      <rPr>
        <sz val="12"/>
        <color theme="1"/>
        <rFont val="Calibri"/>
        <family val="2"/>
        <scheme val="minor"/>
      </rPr>
      <t>A) Delivery nodes pull patch payloads across isolated paths and validate hash chains before distribution.
B) Repositories check upstream TLS links, but do not cryptographically verify individual binaries before deployment.
C) Distribution engines pull updates directly from the open web without intermediate staging or signature verification.
D) Distribution hubs pull file blocks across unencrypted connections, permitting arbitrary code delivery</t>
    </r>
  </si>
  <si>
    <r>
      <t xml:space="preserve">What controls prevent unknown USB mass storage devices from injecting backdoors onto intermittently connected systems??
</t>
    </r>
    <r>
      <rPr>
        <sz val="12"/>
        <color theme="1"/>
        <rFont val="Calibri"/>
        <family val="2"/>
        <scheme val="minor"/>
      </rPr>
      <t xml:space="preserve">A) Interface controls drop all vendor connections except for explicitly whitelisted, cryptographically signed hardware tokens.
B) Storage keys require specialized local mounting passwords, but do not use host execution isolation blocks.
C) Security teams rely entirely on corporate policy warnings, allowing personnel to plug in personal drives.
D) USB interfaces accept any peripheral device class, permitting persistent backdoor execution </t>
    </r>
  </si>
  <si>
    <t>Internal Data Flow Security</t>
  </si>
  <si>
    <r>
      <t xml:space="preserve">Is message and transaction transit data between internal communication interfaces completely encrypted to prevent sniffing?
</t>
    </r>
    <r>
      <rPr>
        <sz val="12"/>
        <color theme="1"/>
        <rFont val="Calibri"/>
        <family val="2"/>
        <scheme val="minor"/>
      </rPr>
      <t xml:space="preserve">
A) All internal communication links mandate TLS 1.3 with mutual cryptographic certificate verification.
B) Traffic uses TLS 1.2, but the backend systems tolerate legacy cipher suites for backward compatibility.
C) Transaction components pass data over cleartext protocols, relying solely on network perimeters for defense.
D) Messaging channels pass all financial records and system interactions in cleartext with no encryption</t>
    </r>
  </si>
  <si>
    <r>
      <t xml:space="preserve">What continuous detection capabilities exist to catch internal network routing attacks like ARP spoofing?
</t>
    </r>
    <r>
      <rPr>
        <sz val="12"/>
        <color theme="1"/>
        <rFont val="Calibri"/>
        <family val="2"/>
        <scheme val="minor"/>
      </rPr>
      <t xml:space="preserve">
A) Network switches use dynamic ARP inspection, DHCP snooping, and strict 802.1X link verification policies.
B) Infrastructure uses static ARP maps on key server nodes, but lacks active port-level detection controls
C) Switches log address discrepancies, but do not automatically drop connections or isolate offending ports.
D) Perimeters permit unrestricted ARP traffic, enabling attackers to perform man-in-the-middle exploits</t>
    </r>
  </si>
  <si>
    <r>
      <t xml:space="preserve">How aggressively are network segmentation controls audited to prevent unapproved devices from mimicking local components?
</t>
    </r>
    <r>
      <rPr>
        <sz val="12"/>
        <color theme="1"/>
        <rFont val="Calibri"/>
        <family val="2"/>
        <scheme val="minor"/>
      </rPr>
      <t xml:space="preserve">
A) Configuration assessment tools run continuous automated simulations to verify internal boundary controls.
B) Manual audit checks evaluate internal firewall configurations once every quarter against standard baselines.
C) Boundary auditing happens only after major infrastructure overhauls or system failures occur.
D) Segmentation rules are never reviewed, allowing misconfigured entries to bridge secure zones</t>
    </r>
  </si>
  <si>
    <r>
      <t xml:space="preserve">Are internal security log transmissions protected by encrypted transport channels during centralized forwarding? 
</t>
    </r>
    <r>
      <rPr>
        <sz val="12"/>
        <color theme="1"/>
        <rFont val="Calibri"/>
        <family val="2"/>
        <scheme val="minor"/>
      </rPr>
      <t xml:space="preserve">
A) System event records forward to SIEM aggregators using TLS-encrypted syslog streams.
B) Forwarders run over TCP streams, but log payloads are unencrypted and visible to anyone sniffing the network path.
C) Audit records travel across cleartext UDP syslog paths, risking packet drops and data interception.
D) Financial applications record logs locally to text files without any remote replication or transmission protection</t>
    </r>
  </si>
  <si>
    <r>
      <t xml:space="preserve">How thoroughly does the infrastructure enforce strict TLS certificate validation rules to shut down Man-in-the-Middle (MITM) options?
</t>
    </r>
    <r>
      <rPr>
        <sz val="12"/>
        <color theme="1"/>
        <rFont val="Calibri"/>
        <family val="2"/>
        <scheme val="minor"/>
      </rPr>
      <t xml:space="preserve">A) Client applications drop links immediately if a root certificate authority is not explicitly whitelisted.
B) Validation routines parse expiry dates but fail to issue revocation lookups via OCSP or CRL paths.
C) Application platforms trigger minor warnings on invalid certs but allow users to proceed anyway.
D) Network connections skip certificate checks entirely, permitting rogue TLS identities to decrypt traffic </t>
    </r>
  </si>
  <si>
    <t>Security Updates</t>
  </si>
  <si>
    <r>
      <t xml:space="preserve">How effectively does the organization legacy management process mitigate risks from unpatched, out-of-support SWIFT components? 
</t>
    </r>
    <r>
      <rPr>
        <sz val="12"/>
        <color theme="1"/>
        <rFont val="Calibri"/>
        <family val="2"/>
        <scheme val="minor"/>
      </rPr>
      <t xml:space="preserve">A) Out-of-support components reside in isolated network enclaves with custom security profiles.
B) Legacy boxes require manual approval cycles, but lack compensating host-level defense blocks.
C) Outdated engines run with standard network privileges, depending entirely on perimeter firewalls for safety.
D) Critical transactions route through unpatched legacy boxes with known, publicly document CVE bugs </t>
    </r>
  </si>
  <si>
    <r>
      <t xml:space="preserve">What is the maximum latency tolerated for testing and deploying emergency patches to SWIFT connected infrastructure? 
</t>
    </r>
    <r>
      <rPr>
        <sz val="12"/>
        <color theme="1"/>
        <rFont val="Calibri"/>
        <family val="2"/>
        <scheme val="minor"/>
      </rPr>
      <t xml:space="preserve">A) High-priority security hotfixes deploy across all target systems within a strict 24-hour cycle.
B) Critical patch cycles complete inside a 14-day window, including sandbox testing phases.
C) Patches wait for scheduled quarterly maintenance slots, leaving systems exposed for months at a time.
D) Emergency update processes do not exist; software updates happen on an ad-hoc basis </t>
    </r>
  </si>
  <si>
    <r>
      <t xml:space="preserve">Are automated software update settings locked down to prevent tampering or disabling by malicious insiders?
</t>
    </r>
    <r>
      <rPr>
        <sz val="12"/>
        <color theme="1"/>
        <rFont val="Calibri"/>
        <family val="2"/>
        <scheme val="minor"/>
      </rPr>
      <t xml:space="preserve">A) Local update properties require multi-signature approval and run under protected service contexts.
B) Administrative credentials can adjust update flags, but any change triggers an alert to security teams.
C) Standard user profiles can pause update loops, leading to unpatched vulnerabilities.
D) Insiders can disable background software update tasks without triggering any logs or management alerts </t>
    </r>
  </si>
  <si>
    <r>
      <t xml:space="preserve">How securely verified are patch packages to prevent the distribution of compromised or fake firmware versions?
</t>
    </r>
    <r>
      <rPr>
        <sz val="12"/>
        <color theme="1"/>
        <rFont val="Calibri"/>
        <family val="2"/>
        <scheme val="minor"/>
      </rPr>
      <t xml:space="preserve">A) Systems mandate cryptographic signature verification against verified vendor public keys before execution.
B) Download portals evaluate SHA-256 hash metrics but skip code-signing certificate verification checks.
C) System platforms verify the source domain name but execute the installer package without analyzing binary signatures.
D) Deployment hubs run files without checking integrity, allowing rogue firmware to propagate </t>
    </r>
  </si>
  <si>
    <r>
      <t xml:space="preserve"> To what degree is configuration parity maintained to avoid inconsistent patch levels across clustered system nodes?
</t>
    </r>
    <r>
      <rPr>
        <sz val="12"/>
        <color theme="1"/>
        <rFont val="Calibri"/>
        <family val="2"/>
        <scheme val="minor"/>
      </rPr>
      <t xml:space="preserve">
A) Orchestrators enforce strict configuration standards, automatically isolating nodes that drop in patch level.
B) Discrepancies generate central compliance warnings, but do not drop nodes out of processing clusters automatically.
C) Cluster nodes patch at varying times, allowing downgrade attacks on unpatched instances.
D) Management tools lack cluster monitoring, leading to wildly inconsistent patch versions across systems</t>
    </r>
  </si>
  <si>
    <t>Security Hardening</t>
  </si>
  <si>
    <r>
      <t xml:space="preserve">Are open debugging ports and unnecessary service structures fully deactivated on all live production endpoints?
</t>
    </r>
    <r>
      <rPr>
        <sz val="12"/>
        <color theme="1"/>
        <rFont val="Calibri"/>
        <family val="2"/>
        <scheme val="minor"/>
      </rPr>
      <t xml:space="preserve">
A) Server configurations deactivate all non-essential services and block unvetted debugging interfaces.
B) Baselines remove standard consumer features, but leave legacy management flags active.
C) Service audits occur on an ad-hoc basis, frequently leaving debugging utilities open to local networks.
D) Deployments retain out-of-the-box configurations, keeping unnecessary services and debugging access points active</t>
    </r>
  </si>
  <si>
    <r>
      <t xml:space="preserve">How securely managed are application configuration documents to keep authentication secrets out of plaintext storage?
</t>
    </r>
    <r>
      <rPr>
        <sz val="12"/>
        <color theme="1"/>
        <rFont val="Calibri"/>
        <family val="2"/>
        <scheme val="minor"/>
      </rPr>
      <t xml:space="preserve">
A) Application setups fetch access credentials at runtime from a dedicated, hardware-backed vault solution.
B) Authentication keys are obfuscated or encrypted locally using reversible host-level scripts.
C) Passwords reside in plaintext inside internal configuration directories that have permissive file system ACLs.1
D) Hardcoded admin credentials sit in plain text inside public application code files</t>
    </r>
  </si>
  <si>
    <r>
      <t xml:space="preserve">Are kernel-level access security modules (e.g., SELinux, AppArmor) consistently deployed and monitored in active mode?
</t>
    </r>
    <r>
      <rPr>
        <sz val="12"/>
        <color theme="1"/>
        <rFont val="Calibri"/>
        <family val="2"/>
        <scheme val="minor"/>
      </rPr>
      <t xml:space="preserve">
A) Hardening modules like SELinux run in strict enforcing mode with zero override exceptions allowed.
B) Guard systems operate in log-only permissive mode, capturing access violations without dropping the processes.
C) Protection components are deactivated selectively during setup phases and are rarely reactivated.
D) Security containment modules are completely turned off, allowing unchecked system-level exploitation</t>
    </r>
  </si>
  <si>
    <r>
      <t xml:space="preserve">What physical layer configurations (e.g., BIOS/UEFI password protection) are active to block hardware modification?
</t>
    </r>
    <r>
      <rPr>
        <sz val="12"/>
        <color theme="1"/>
        <rFont val="Calibri"/>
        <family val="2"/>
        <scheme val="minor"/>
      </rPr>
      <t xml:space="preserve">
A) Device firmwares utilize complex boot keys combined with cryptographic drive protection systems.
B) BIOS parameters require specialized access keys, but local storage volumes remain unencrypted.
C) Default manufacturer keys gate hardware panels, but boot order limits remain unconfigured.
D) Firmwares lack boot password restrictions, allowing easy tampering via external USB boot devices</t>
    </r>
  </si>
  <si>
    <r>
      <t xml:space="preserve">How restrictive are server filesystem access control lists (ACLs) concerning write actions from standard user accounts?
</t>
    </r>
    <r>
      <rPr>
        <sz val="12"/>
        <color theme="1"/>
        <rFont val="Calibri"/>
        <family val="2"/>
        <scheme val="minor"/>
      </rPr>
      <t xml:space="preserve">
A) System file paths restrict modification access to explicit system identities using immutable file tags.
B) Access controls enforce standard read/write boundaries, but allow group accounts broad inheritance rights.
C) File systems use wide open read rules, allowing non-privileged users to read configuration files.
D) Directory path setups grant full read/write permissions to everyone, enabling easy configuration tampering</t>
    </r>
  </si>
  <si>
    <t>Back Office Data Flow Security</t>
  </si>
  <si>
    <r>
      <rPr>
        <u/>
        <sz val="12"/>
        <color theme="1"/>
        <rFont val="Calibri"/>
        <family val="2"/>
        <scheme val="minor"/>
      </rPr>
      <t xml:space="preserve"> Is financial messaging data passing between back-office tools and SWIFT gateways encrypted using strong protocols? 
</t>
    </r>
    <r>
      <rPr>
        <sz val="12"/>
        <color theme="1"/>
        <rFont val="Calibri"/>
        <family val="2"/>
        <scheme val="minor"/>
      </rPr>
      <t xml:space="preserve">
A) Internal application messaging streams use point-to-point TLS 1.3 paths with hardware security modules.
B) Middleware layers tunnel connections across IPsec VPN connections but do not use application-level encryption.
C) Core financial traffic travels over unencrypted internal networks, relying entirely on VLAN perimeters.
D) Transaction data flows between back-office apps and SWIFT gateways in cleartext with no protection </t>
    </r>
  </si>
  <si>
    <r>
      <rPr>
        <u/>
        <sz val="12"/>
        <color theme="1"/>
        <rFont val="Calibri"/>
        <family val="2"/>
        <scheme val="minor"/>
      </rPr>
      <t xml:space="preserve">What logical barriers stop unauthenticated environments from passing raw instructions directly to integrated interfaces? 
</t>
    </r>
    <r>
      <rPr>
        <sz val="12"/>
        <color theme="1"/>
        <rFont val="Calibri"/>
        <family val="2"/>
        <scheme val="minor"/>
      </rPr>
      <t xml:space="preserve">
A) Ingress ports process commands only after validating API tokens and checking origin network locations.
B) Integration buses use fixed IP validation rules but skip user profile verification steps.
C) Gateway paths trust any system residing within the same corporate network tier implicitly.
D) Processing links handle instructions from unauthenticated systems without checking authority parameters</t>
    </r>
  </si>
  <si>
    <r>
      <rPr>
        <u/>
        <sz val="12"/>
        <color theme="1"/>
        <rFont val="Calibri"/>
        <family val="2"/>
        <scheme val="minor"/>
      </rPr>
      <t xml:space="preserve">Are automated file distribution workflows for archiving transactions bound strictly to SFTP over raw FTP?
</t>
    </r>
    <r>
      <rPr>
        <sz val="12"/>
        <color theme="1"/>
        <rFont val="Calibri"/>
        <family val="2"/>
        <scheme val="minor"/>
      </rPr>
      <t xml:space="preserve">
A) Archive data transfer engines mandate SFTP using SSH keys that are rotated weekly via automated scripts.
B) Transfers use standard SFTP, but SSH authentication secrets remain static for years.
C) Batch procedures run over unencrypted FTP, relying on hidden directory paths for security.
D) Transaction records move over cleartext FTP, exposing financial payloads to easy network interception </t>
    </r>
  </si>
  <si>
    <r>
      <rPr>
        <u/>
        <sz val="12"/>
        <color theme="1"/>
        <rFont val="Calibri"/>
        <family val="2"/>
        <scheme val="minor"/>
      </rPr>
      <t xml:space="preserve">How rigorously are message integrity verification routines performed on back-office application interfaces?
</t>
    </r>
    <r>
      <rPr>
        <sz val="12"/>
        <color theme="1"/>
        <rFont val="Calibri"/>
        <family val="2"/>
        <scheme val="minor"/>
      </rPr>
      <t xml:space="preserve">
A) Message payloads contain digital signatures validated by an asymmetric public key infrastructure. 
B) Interfaces check simple checksum hashes (e.g., MD5), but lack cryptographic authenticity verification.
C) Verification checks occur only at final processing endpoints, leaving intermediary hubs unverified.
D) Data flows lack integrity checks, enabling undetected manipulation of financial message values</t>
    </r>
  </si>
  <si>
    <r>
      <rPr>
        <u/>
        <sz val="12"/>
        <color theme="1"/>
        <rFont val="Calibri"/>
        <family val="2"/>
        <scheme val="minor"/>
      </rPr>
      <t xml:space="preserve"> What protections isolate internal domain resolution to prevent transaction delivery rerouting through poisoned DNS?
</t>
    </r>
    <r>
      <rPr>
        <sz val="12"/>
        <color theme="1"/>
        <rFont val="Calibri"/>
        <family val="2"/>
        <scheme val="minor"/>
      </rPr>
      <t xml:space="preserve">
A) Local name lookup engines deploy strict DNSSEC validation alongside encrypted DNS routing.
B) Systems use central lookup infrastructure, but do not actively monitor for internal cache poisoning events.
C) Endpoints query regional routers that lack security hardening, exposing them to basic spoofing attacks.
D) Name resolution relies on unverified host files, allowing traffic redirection to rogue internal servers</t>
    </r>
  </si>
  <si>
    <t>External Transmission Data Protection</t>
  </si>
  <si>
    <r>
      <t xml:space="preserve">Is mutual TLS (mTLS) authentication mandatory for all active connections handling traffic moving outside the organization? 
</t>
    </r>
    <r>
      <rPr>
        <sz val="12"/>
        <color theme="1"/>
        <rFont val="Calibri"/>
        <family val="2"/>
        <scheme val="minor"/>
      </rPr>
      <t xml:space="preserve">
A)External transaction pipelines drop links unless verified by valid mTLS identity certificates on both ends.
B) Connections use standard one-way TLS, authenticating the remote server but skipping client certificate validation.
C) Traffic maps over public transport layers, using application passwords rather than certificate handshakes.
D) External links connect without mutual validation steps, allowing unauthenticated traffic interception</t>
    </r>
  </si>
  <si>
    <r>
      <t xml:space="preserve">What lifecycle monitoring rules prevent expired or weakly ciphered TLS configurations from causing encryption fallbacks?
</t>
    </r>
    <r>
      <rPr>
        <sz val="12"/>
        <color theme="1"/>
        <rFont val="Calibri"/>
        <family val="2"/>
        <scheme val="minor"/>
      </rPr>
      <t xml:space="preserve">A) Enterprise discovery platforms inventory certificates continuously, auto-renewing them before expiration.
B) Certificate monitoring relies on calendar alerts, which occasionally leads to brief service interruptions. 
C) Renewals happen reactively after systems fail or external warning notices arrive.
D) Expired or misconfigured certificates are common, causing links to fall back to insecure protocols </t>
    </r>
  </si>
  <si>
    <r>
      <t xml:space="preserve">Are operational parameters on intermediary proxy nodes adjusted to wipe transient cached transaction data out of plaintext memory? 
</t>
    </r>
    <r>
      <rPr>
        <sz val="12"/>
        <color theme="1"/>
        <rFont val="Calibri"/>
        <family val="2"/>
        <scheme val="minor"/>
      </rPr>
      <t xml:space="preserve">
A) Proxy systems process packets entirely in volatile memory and never write raw payloads to persistent disk storage.
B) Proxy logs are encrypted at rest, but store full transaction text strings during standard processing windows.
C) Proxies store transient data in plaintext directories, relying on standard file permissions for security.
D) Intermediary proxy servers cache full transaction data in cleartext inside world-readable directories</t>
    </r>
  </si>
  <si>
    <r>
      <t xml:space="preserve">How effectively is network path diagnostic output monitored to prevent full transaction text exposures in logs?
</t>
    </r>
    <r>
      <rPr>
        <sz val="12"/>
        <color theme="1"/>
        <rFont val="Calibri"/>
        <family val="2"/>
        <scheme val="minor"/>
      </rPr>
      <t xml:space="preserve">A) In-line monitoring tools use data loss prevention filters to strip sensitive fields from logs automatically.
B) Log engines use rule-based token replacements, which sometimes miss non-standard payload formats.
C) Diagnostic systems record full transaction strings, but restrict log viewing access to specific admin teams.
D) Network monitoring platforms store full transaction payloads in unprotected cleartext logs </t>
    </r>
  </si>
  <si>
    <r>
      <t xml:space="preserve">Are backup datasets or logs slated for cloud targets subjected to mandatory local encryption before transit? ?
</t>
    </r>
    <r>
      <rPr>
        <sz val="12"/>
        <color theme="1"/>
        <rFont val="Calibri"/>
        <family val="2"/>
        <scheme val="minor"/>
      </rPr>
      <t>A) Export modules encrypt backup files locally using AES-GCM-256 before initiating transmission to cloud targets.
B) Files transfer over encrypted HTTPS links, but sit unencrypted once inside the destination cloud bucket.
C) Data transfers rely on cloud provider encryption models without managing the master keys locally.
D) Backup transaction datasets are uploaded directly to cloud buckets without any encryption.</t>
    </r>
  </si>
  <si>
    <t>Operator Session Confidentiality and Integrity</t>
  </si>
  <si>
    <r>
      <t xml:space="preserve">What technical countermeasures block background keylogging or silent screen recording malware on operator devices?
</t>
    </r>
    <r>
      <rPr>
        <sz val="12"/>
        <color theme="1"/>
        <rFont val="Calibri"/>
        <family val="2"/>
        <scheme val="minor"/>
      </rPr>
      <t>A) Desktops deploy advanced EDR tools with anti-hooking mechanisms to block keylogging and screen-scraping malware.
B) Standard signature-based antivirus is active, but lacks behavioral heuristics to catch custom keyloggers.
C) Terminals lack specialized session protection tools, depending on basic windows defender tools.
D) Operator workstations run with zero malware protection, leaving sessions vulnerable to silent capture</t>
    </r>
  </si>
  <si>
    <r>
      <t xml:space="preserve">Are strict inactivity thresholds configured to terminate idle operator console sessions automatically?
</t>
    </r>
    <r>
      <rPr>
        <sz val="12"/>
        <color theme="1"/>
        <rFont val="Calibri"/>
        <family val="2"/>
        <scheme val="minor"/>
      </rPr>
      <t xml:space="preserve">A) System consoles terminate connection states automatically after exactly 5 minutes of idle time. 
B) Timeout parameters disconnect users after 15 minutes, but keep local application cache states active.
C) Inactivity timers extend beyond 60 minutes, leaving consoles vulnerable to physical access abuse.
D) Systems have no session timeout parameters, allowing logged-in operator consoles to sit open indefinitely </t>
    </r>
  </si>
  <si>
    <r>
      <t xml:space="preserve">Are endpoint policies configured to prevent operators from turning off screen locks or extending logout intervals?
</t>
    </r>
    <r>
      <rPr>
        <sz val="12"/>
        <color theme="1"/>
        <rFont val="Calibri"/>
        <family val="2"/>
        <scheme val="minor"/>
      </rPr>
      <t xml:space="preserve">A) Group policies enforce unbypasable screen saver locks after 5 minutes of user inactivity.
B) Users can extend lockout windows up to 30 minutes, but cannot disable the lock mechanism completely.
C) Screen locks require manual activation, allowing operators to leave active sessions exposed to shoulder surfing.
D) Endpoint policies allow operators to disable screen locks and auto-logout mechanics entirely </t>
    </r>
  </si>
  <si>
    <r>
      <t xml:space="preserve">To what extent are shared operator accounts banned to enforce individual session audit traceability? 
</t>
    </r>
    <r>
      <rPr>
        <sz val="12"/>
        <color theme="1"/>
        <rFont val="Calibri"/>
        <family val="2"/>
        <scheme val="minor"/>
      </rPr>
      <t>A) Individual credential assignment is mandatory; team-wide or shared administrative profiles are technically blocked.
B) Personal accounts are used for login, but administrative tasks escalate to a shared root account.
C) Team groups utilize shared access codes, but track usage via manual paper sign-in logs.
D) Multiple staff share generic operator credentials simultaneously, breaking all accountability</t>
    </r>
  </si>
  <si>
    <r>
      <t xml:space="preserve"> What conditional entry rules prevent remote terminal access over unmanaged devices or unsecured public networks?
</t>
    </r>
    <r>
      <rPr>
        <sz val="12"/>
        <color theme="1"/>
        <rFont val="Calibri"/>
        <family val="2"/>
        <scheme val="minor"/>
      </rPr>
      <t xml:space="preserve">A) Core dashboards check hardware certificate states, blocking connections from unmanaged systems or public networks.
B) Portals accept incoming links over enterprise VPN lines, but lack strict source network restrictions.
C) Portals are accessible over standard web paths, relying entirely on weak software multi-factor tokens.
D) Operators can log into critical applications directly over unsecured public Wi-Fi networks </t>
    </r>
  </si>
  <si>
    <t>Vulnerability Scanning</t>
  </si>
  <si>
    <r>
      <t xml:space="preserve">How frequently are vulnerability scanning routines executed across the entire SWIFT secure enclave? 
</t>
    </r>
    <r>
      <rPr>
        <sz val="12"/>
        <color theme="1"/>
        <rFont val="Calibri"/>
        <family val="2"/>
        <scheme val="minor"/>
      </rPr>
      <t xml:space="preserve">A) Automated scanning assessment frameworks perform full discovery sweeps continuously or daily.
B) Vulnerability scans execute on a predictable monthly cadence across the entire asset inventory.
C) Scanning engines execute only once or twice a year to meet basic compliance checklist goals.
D) Scans are performed on an ad-hoc basis, missing critical zero-day vulnerabilities in secure zones </t>
    </r>
    <r>
      <rPr>
        <u/>
        <sz val="12"/>
        <color theme="1"/>
        <rFont val="Calibri"/>
        <family val="2"/>
        <scheme val="minor"/>
      </rPr>
      <t xml:space="preserve">
</t>
    </r>
  </si>
  <si>
    <r>
      <t xml:space="preserve">
Do scanning technologies possess authorized credentials to cross internal security perimeters and scan segmented zones?
</t>
    </r>
    <r>
      <rPr>
        <sz val="12"/>
        <color theme="1"/>
        <rFont val="Calibri"/>
        <family val="2"/>
        <scheme val="minor"/>
      </rPr>
      <t xml:space="preserve">A) Scanning appliances use dedicated credentials to navigate internal segments and inspect firewalled nodes.
B) Scans assess targets through narrow firewall holes, which frequently triggers missing alert events.
C) Assessment tools inspect perimeter boxes only, leaving internal database zones unexamined.
D) Scanners are blocked from traversing internal segments, leaving severe blind spots across the zone </t>
    </r>
  </si>
  <si>
    <r>
      <t xml:space="preserve">How accurately is the enterprise asset tracking master updated to prevent uncatalogued components from escaping sweeps?
</t>
    </r>
    <r>
      <rPr>
        <sz val="12"/>
        <color theme="1"/>
        <rFont val="Calibri"/>
        <family val="2"/>
        <scheme val="minor"/>
      </rPr>
      <t>A) Active network identification tools find new assets and add them to scan schedules automatically.
B) Discovery rosters undergo manual review every month to clean up static configuration listings.
C) Inventory tracking uses basic spreadsheets, which are often missing details on temporary development boxes.
D) Asset documentation is missing, causing critical SWIFT components to be completely skipped during scans</t>
    </r>
  </si>
  <si>
    <r>
      <t xml:space="preserve">What mechanisms protect engine access credentials from intercept, collection, or unauthorized reuse?
</t>
    </r>
    <r>
      <rPr>
        <sz val="12"/>
        <color theme="1"/>
        <rFont val="Calibri"/>
        <family val="2"/>
        <scheme val="minor"/>
      </rPr>
      <t xml:space="preserve">A) Discovery keys use vault storage and complete automated password rotations after every sweep cycle.
B) Scan engines store administrative profiles in encrypted configurations, but use static keys.
C) Assessment accounts use simple passwords that are shared across multiple internal testing teams.
D) Cleartext scan credentials travel across network streams, where they can be intercepted and reused </t>
    </r>
  </si>
  <si>
    <r>
      <t xml:space="preserve">Are risk mitigation workflows structured to evaluate remediation needs based on environment context rather than raw CVSS metrics?
</t>
    </r>
    <r>
      <rPr>
        <sz val="12"/>
        <color theme="1"/>
        <rFont val="Calibri"/>
        <family val="2"/>
        <scheme val="minor"/>
      </rPr>
      <t>A) Vulnerability risk evaluation combines threat intelligence with context to remediate exposed flaws first.
B) Remediation plans track standard CVSS scores, but skip analysis of local exploit paths.
C) Mitigation workflows patch issues slowly unless a vulnerability receives widespread media attention.
D) High-risk findings are ignored or deprioritized due to a false sense of security from low CVSS scores</t>
    </r>
  </si>
  <si>
    <t>Critical Activity Outsourcing</t>
  </si>
  <si>
    <r>
      <t xml:space="preserve">What checks ensure third-party engineering teams do not introduce unapproved or legacy remote-access tools?
</t>
    </r>
    <r>
      <rPr>
        <sz val="12"/>
        <color theme="1"/>
        <rFont val="Calibri"/>
        <family val="2"/>
        <scheme val="minor"/>
      </rPr>
      <t>A) Application control policies block unauthorized software, restricting vendors to a secure bastion host.
B) Support engineers can install standard utilities, but all downloads require admin token overrides.
C) External teams use custom remote access tools that lack security reviews by internal risk teams.
D) Vendors deploy unapproved legacy tools freely, opening unmonitored backdoors into the network</t>
    </r>
  </si>
  <si>
    <r>
      <t xml:space="preserve"> Are service boundaries and incident response responsibilities clearly delineated to stop processing bottlenecks?
</t>
    </r>
    <r>
      <rPr>
        <sz val="12"/>
        <color theme="1"/>
        <rFont val="Calibri"/>
        <family val="2"/>
        <scheme val="minor"/>
      </rPr>
      <t>A) RACI matrices define incident steps, and joint tabletop exercises test coordination plans quarterly.
B) Service level agreements outline response windows, but lack detailed step-by-step containment plans.
C) Response workflows depend on standard helpdesk tickets, which often delays incident escalations.
D) Incident response boundaries are undefined, causing critical delays during active security breaches</t>
    </r>
  </si>
  <si>
    <r>
      <t xml:space="preserve">How is change execution audited to catch undocumented updates introduced by outsourced teams?
</t>
    </r>
    <r>
      <rPr>
        <sz val="12"/>
        <color theme="1"/>
        <rFont val="Calibri"/>
        <family val="2"/>
        <scheme val="minor"/>
      </rPr>
      <t>A) Integrity verification software flags unapproved file changes and rolls them back automatically.
B) Configuration reviews compare system changes against change management logs every week.
C) System adjustments follow verbal agreements, leaving changes unverified by automated tools.
D) External vendor modifications run without internal review, allowing undocumented changes</t>
    </r>
  </si>
  <si>
    <r>
      <t xml:space="preserve">What measures stop outsourced administrative staff from maintaining unencrypted credential sheets?
</t>
    </r>
    <r>
      <rPr>
        <sz val="12"/>
        <color theme="1"/>
        <rFont val="Calibri"/>
        <family val="2"/>
        <scheme val="minor"/>
      </rPr>
      <t xml:space="preserve">
A) Vendor engineers access systems using transient, single-use credentials that expire automatically after one hour.
B) Profiles use individual static passwords, which undergo rotation schedules every 90 days.
C) Vendor teams use shared group passwords, but store them within password management tools.
D) Outsourced support teams store critical system credentials in unencrypted, shared spreadsheets</t>
    </r>
  </si>
  <si>
    <r>
      <t xml:space="preserve">Do third-party entities managing internal infrastructure use Multi-Factor Authentication (MFA) on all access channels? 
</t>
    </r>
    <r>
      <rPr>
        <sz val="12"/>
        <color theme="1"/>
        <rFont val="Calibri"/>
        <family val="2"/>
        <scheme val="minor"/>
      </rPr>
      <t xml:space="preserve">
A) Vendor portals enforce phishing-resistant MFA that is tied strictly to enterprise identity directories.
B) Vendor connections require basic SMS or mobile app OTP codes to complete login steps.
C) Third-party connections require password credentials only, treating MFA as an optional setting.
D) Remote vendor administrative access is permitted without any multi-factor authentication requirements</t>
    </r>
  </si>
  <si>
    <t>Transaction Business Controls</t>
  </si>
  <si>
    <r>
      <t xml:space="preserve">Is a strict dual-control/four-eyes validation architecture mandatory to process high-value SWIFT transactions?
</t>
    </r>
    <r>
      <rPr>
        <sz val="12"/>
        <color theme="1"/>
        <rFont val="Calibri"/>
        <family val="2"/>
        <scheme val="minor"/>
      </rPr>
      <t>A) Transaction processing requires separate creation and verification actions on physically distinct endpoints.
B) Systems require dual authorization codes, but allow operators to approve tasks from the same workstation.
C) Dual control applies to high-value transfers only, leaving standard transactions unverified.
D) Single operators can draft, verify, and execute high-value financial transfers alone</t>
    </r>
  </si>
  <si>
    <r>
      <t xml:space="preserve">How effectively do automated system thresholds restrict excessive or atypical currency movement volumes?
</t>
    </r>
    <r>
      <rPr>
        <sz val="12"/>
        <color theme="1"/>
        <rFont val="Calibri"/>
        <family val="2"/>
        <scheme val="minor"/>
      </rPr>
      <t>A) Real-time velocity rules block transaction batches that cross statistical baseline parameters.
B) Hard currency ceilings block single large transfers, but do not track rapid series of smaller payments.
C) Balance validation occurs before transfers execute, but systems lack volume velocity metrics.
D) Processing systems lack volume constraints, allowing unchecked currency movement sizes</t>
    </r>
  </si>
  <si>
    <r>
      <t xml:space="preserve">Does business process verification logic automatically parse and match payee account names against designated routing numbers?
</t>
    </r>
    <r>
      <rPr>
        <sz val="12"/>
        <color theme="1"/>
        <rFont val="Calibri"/>
        <family val="2"/>
        <scheme val="minor"/>
      </rPr>
      <t>A) Verification modules parse payment records and cross-reference names against database registries instantly.
B) Validation scripts look for routing format errors, but skip verification of recipient names.
C) Name and account matching happens manually via batch sampling reports at the end of the day.
D) Business systems ignore payee name mismatches, routing transfers using account numbers alone</t>
    </r>
  </si>
  <si>
    <r>
      <t xml:space="preserve">What real-time monitoring tools track anomalous or outside-business-hours transaction volumes? 
</t>
    </r>
    <r>
      <rPr>
        <sz val="12"/>
        <color theme="1"/>
        <rFont val="Calibri"/>
        <family val="2"/>
        <scheme val="minor"/>
      </rPr>
      <t xml:space="preserve">A) Machine learning engines analyze streaming transaction telemetry to flag anomalous transfer anomalies instantly.
B) Log alerts flag outside-business-hours activity, but require manual validation by security teams.
C) Activity reporting runs on a delayed daily cycle, catching transaction anomalies long after execution.
D) Platforms lack transaction anomaly alerting, allowing irregular transfer patterns to go unnoticed </t>
    </r>
  </si>
  <si>
    <r>
      <t xml:space="preserve">Are whitelisted beneficiary structures programmatically validated before processing outward remittance traffic? 
</t>
    </r>
    <r>
      <rPr>
        <sz val="12"/>
        <color theme="1"/>
        <rFont val="Calibri"/>
        <family val="2"/>
        <scheme val="minor"/>
      </rPr>
      <t>A) Payment systems process transfers only if the recipient matches an encrypted database whitelist.
B) Whitelist directories exist, but adding new entry overrides requires a single administrator token.
C) Operators verify destination names against static text documents during manual review steps.
D) Systems allow transfers to any destination account without verifying against an approved whitelist (p. 6</t>
    </r>
    <r>
      <rPr>
        <u/>
        <sz val="12"/>
        <color theme="1"/>
        <rFont val="Calibri"/>
        <family val="2"/>
        <scheme val="minor"/>
      </rPr>
      <t>)</t>
    </r>
  </si>
  <si>
    <t>RMA (Relationship Management Application) Business Controls</t>
  </si>
  <si>
    <r>
      <t xml:space="preserve">Is there an authenticating process verifying counterparty institution identity before RMA approvals are given?
</t>
    </r>
    <r>
      <rPr>
        <sz val="12"/>
        <color theme="1"/>
        <rFont val="Calibri"/>
        <family val="2"/>
        <scheme val="minor"/>
      </rPr>
      <t xml:space="preserve">
A) RMA authorizations require multi-department verification and out-of-band confirmation before activation.
B) Compliance teams evaluate connection requests against standard lists before approval.
C) System engineers issue certificates based on incoming requests without completing formal business reviews.
D) RMA tokens are activated automatically without verifying the legitimacy of the counterparty institution</t>
    </r>
  </si>
  <si>
    <r>
      <t xml:space="preserve">What scheduling process ensures expired or orphaned RMAs are revoked immediately following relationship sunsetting?
</t>
    </r>
    <r>
      <rPr>
        <sz val="12"/>
        <color theme="1"/>
        <rFont val="Calibri"/>
        <family val="2"/>
        <scheme val="minor"/>
      </rPr>
      <t xml:space="preserve">
A) Automated discovery tools revoke expired or orphaned relationship parameters within 24 hours of sunset dates.
B) Security teams complete manual reviews of active relationships every quarter to clean out stale links.
C) Revocation happens reactively after contract termination notices pass through legal teams.
D) Expired relationships remain active indefinitely, leaving unmonitored communication lines open</t>
    </r>
  </si>
  <si>
    <r>
      <t xml:space="preserve">Are workflow logs and approvals required to implement modifications or deletions to RMA settings?
</t>
    </r>
    <r>
      <rPr>
        <sz val="12"/>
        <color theme="1"/>
        <rFont val="Calibri"/>
        <family val="2"/>
        <scheme val="minor"/>
      </rPr>
      <t xml:space="preserve">A) GitOps deployment models mandate peer-reviewed pull requests to modify application configurations.
B) Configuration adjustments require digital signatures , but changes are logged inside local system text files only.
C) Access rules permit engineers to make live updates, provided they submit a standard helpdesk ticket first.
D) Management configurations lack tracking controls, allowing unlogged modifications to go unnoticed </t>
    </r>
  </si>
  <si>
    <r>
      <t xml:space="preserve">Are volume alerts active to flag unexpected operational surges or messaging spikes on unique RMA channels?
</t>
    </r>
    <r>
      <rPr>
        <sz val="12"/>
        <color theme="1"/>
        <rFont val="Calibri"/>
        <family val="2"/>
        <scheme val="minor"/>
      </rPr>
      <t>A) Automated baselines monitor message frequencies on each path, dropping lines if volume surges occur.
B) Monitoring systems track aggregate traffic volume, but lack granularity for individual relationship links.
C) Daily summary reports track total message counts, catching volume spikes long after they occur.
D) Systems lack channel volume alerts, allowing unexpected message surges to pass unfiltered</t>
    </r>
  </si>
  <si>
    <r>
      <t xml:space="preserve">Is segregation of duties enforced to prevent individual users from creating and activating new RMA items?
</t>
    </r>
    <r>
      <rPr>
        <sz val="12"/>
        <color theme="1"/>
        <rFont val="Calibri"/>
        <family val="2"/>
        <scheme val="minor"/>
      </rPr>
      <t>A) Core architectures separate permissions; users who define connection rules cannot activate communication paths.
B) Shared consoles use group permissions that require secondary admin credentials to apply configuration updates.
C) Individual accounts can create and activate entries, but task actions trigger simple log alerts.
D) Single user profiles can create, modify, and activate communication connections alone</t>
    </r>
  </si>
  <si>
    <t>Identity, Access, and Hygiene</t>
  </si>
  <si>
    <r>
      <t xml:space="preserve">How effectively do anti-tailgating systems and unshared badging protocols protect physical data center access?
</t>
    </r>
    <r>
      <rPr>
        <sz val="12"/>
        <color theme="1"/>
        <rFont val="Calibri"/>
        <family val="2"/>
        <scheme val="minor"/>
      </rPr>
      <t xml:space="preserve">A) Biometric portals combined with anti-tailgating turnstiles restrict access to data centers.
B) Badge readers gate server room doors, but perimeter monitoring lacks anti-tailgating controls.
C) Facilities use physical keys, but keep sign-in logs manually on paper clipboards.
D) Server cages remain unlocked, allowing unescorted visitors to access device terminals </t>
    </r>
  </si>
  <si>
    <r>
      <t xml:space="preserve">Are strong complexity parameters enforced along with technical filters blocking common dictionary passwords?
</t>
    </r>
    <r>
      <rPr>
        <sz val="12"/>
        <color theme="1"/>
        <rFont val="Calibri"/>
        <family val="2"/>
        <scheme val="minor"/>
      </rPr>
      <t xml:space="preserve">A) Systems require 16-character keys and check passwords against compromised credential databases automatically.
B) Group policies require 12 characters and complex notation, but lack dictionary block lists.
C) Systems enforce simple 8-character limits, allowing users to select predictable text strings.
D) Complex notation guidelines do not exist, allowing operators to use weak default passwords </t>
    </r>
  </si>
  <si>
    <r>
      <t xml:space="preserve">Is multi-factor authentication uniformly required across all administrative routes and remote entry portals?
</t>
    </r>
    <r>
      <rPr>
        <sz val="12"/>
        <color theme="1"/>
        <rFont val="Calibri"/>
        <family val="2"/>
        <scheme val="minor"/>
      </rPr>
      <t xml:space="preserve">
A) Access paths require hardware MFA tokens, blocking fallback options like SMS or security questions
B) Portals use app push notifications, but allow SMS code delivery as a secondary backup option.
C) MFA applies to external paths only, allowing cleartext password authentication inside internal networks.
D) Administrative pathways rely entirely on passwords, keeping multifactor verification disabled</t>
    </r>
  </si>
  <si>
    <r>
      <t xml:space="preserve">What process ensures orphaned, dormant, or former employee accounts are removed instantly from directory pools?
</t>
    </r>
    <r>
      <rPr>
        <sz val="12"/>
        <color theme="1"/>
        <rFont val="Calibri"/>
        <family val="2"/>
        <scheme val="minor"/>
      </rPr>
      <t>A) HR identity platforms delete network profiles automatically the moment employee termination events occur.
B) Security teams complete profile deprovisioning audits within 48 hours of employee departures.
C) Profile cleanup happens during monthly sweeps, leaving old accounts active for weeks.
D) Deprovisioning processes do not exist, keeping former employee profiles active across systems</t>
    </r>
  </si>
  <si>
    <r>
      <t xml:space="preserve">Are physical hardware tokens tracked and audited to ensure they are not left unattended or unrevoked?
</t>
    </r>
    <r>
      <rPr>
        <sz val="12"/>
        <color theme="1"/>
        <rFont val="Calibri"/>
        <family val="2"/>
        <scheme val="minor"/>
      </rPr>
      <t>A) Security systems record token serial assignments and track assets via real-time proximity alerts.
B) Asset teams update hardware assignments inside database tools when onboarding cycles occur.
C) Token management uses manual spreadsheets, which are rarely updated when personnel switch roles.
D) Hardware tokens are untracked and left unattended on operator desks without being revoked</t>
    </r>
  </si>
  <si>
    <r>
      <t xml:space="preserve">How comprehensive is the background screening protocol for contractors and staff entering sensitive roles? 
</t>
    </r>
    <r>
      <rPr>
        <sz val="12"/>
        <color theme="1"/>
        <rFont val="Calibri"/>
        <family val="2"/>
        <scheme val="minor"/>
      </rPr>
      <t xml:space="preserve">
A) Background screening protocols check credit histories, criminal records, and cyber compliance metrics annually.
B) Personnel undergo background checks during initial hiring, but skip follow-up screenings when changing roles.
C) Screening steps evaluate permanent staff only, skipping verification checks for third-party contractors.
D) 1.00: Onboarding skips background checks entirely, allowing unvetted profiles to enter sensitive positions</t>
    </r>
  </si>
  <si>
    <t>C</t>
  </si>
  <si>
    <t>A</t>
  </si>
  <si>
    <t>D</t>
  </si>
  <si>
    <t>Category Score Formula</t>
  </si>
  <si>
    <t>Weight Multipliers</t>
  </si>
  <si>
    <t>Weighted Scores</t>
  </si>
  <si>
    <t>Global Weighted Score</t>
  </si>
  <si>
    <t>Threat Posture End State</t>
  </si>
  <si>
    <t>Row Labels</t>
  </si>
  <si>
    <t>Grand Total</t>
  </si>
  <si>
    <t>Sum of Weighted Scores</t>
  </si>
  <si>
    <t>Sum of Weight Multipliers</t>
  </si>
  <si>
    <t>States</t>
  </si>
  <si>
    <t>Definitions</t>
  </si>
  <si>
    <t>Operational Impact</t>
  </si>
  <si>
    <t>The organization exhibits a highly mature security architecture. Technical controls are automated, segmentation is pristine, and privileged activities are stringently managed</t>
  </si>
  <si>
    <t>Low threat exposure. Highly resilient against sophisticated, multi-stage cyber attacks and insider risks</t>
  </si>
  <si>
    <r>
      <t xml:space="preserve">🛡️ State 1: Optimized Security Posture (Score: 0% – 35%)
</t>
    </r>
    <r>
      <rPr>
        <u/>
        <sz val="10"/>
        <color theme="1"/>
        <rFont val="Arial"/>
        <family val="2"/>
      </rPr>
      <t xml:space="preserve">
</t>
    </r>
  </si>
  <si>
    <t xml:space="preserve">Core defensive perimeters are functional, and critical business validations are in place. However, some gaps exist due to manual dependencies or minor tracking lapses in asset lifecycles </t>
  </si>
  <si>
    <t>Moderate threat exposure. Capable of deflecting general opportunistic vectors, but highly targeted campaigns could exploit human validation points</t>
  </si>
  <si>
    <r>
      <t xml:space="preserve">⚠️ State 2: Resilient Security Posture (Score: 35.01% – 55%)
</t>
    </r>
    <r>
      <rPr>
        <sz val="10"/>
        <color theme="1"/>
        <rFont val="Arial"/>
        <family val="2"/>
      </rPr>
      <t xml:space="preserve">
</t>
    </r>
  </si>
  <si>
    <t>Major control vulnerabilities are present. The environment lacks robust segmentation, identity management has clear gaps, and security operations are reactive.</t>
  </si>
  <si>
    <t>High threat exposure. A compromise in the general corporate network carries a high probability of successful lateral movement into the SWIFT perimeter.</t>
  </si>
  <si>
    <t xml:space="preserve">🚨 State 3: Elevated Exposure Posture (Score: 55.01% – 75%)
</t>
  </si>
  <si>
    <t xml:space="preserve">Widespread failure or complete absence of standard security baselines. Credential hygiene is absent, access groups are unmonitored, and third-party interactions introduce severe risk </t>
  </si>
  <si>
    <t>Catastrophic exposure. The organization is exceptionally vulnerable to imminent fraud, ransomware distribution, or extensive long-term data exfiltration</t>
  </si>
  <si>
    <r>
      <t xml:space="preserve">☠️ State 4: Critical Threat Posture (Score: 75.01% – 100%)
</t>
    </r>
    <r>
      <rPr>
        <b/>
        <u/>
        <sz val="10"/>
        <color theme="1"/>
        <rFont val="Arial"/>
        <family val="2"/>
      </rPr>
      <t xml:space="preserve">
</t>
    </r>
  </si>
  <si>
    <t>© 2026 Amit Kulkarni.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</si>
</sst>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theme="1"/>
      <name val="Calibri"/>
      <family val="2"/>
      <scheme val="minor"/>
    </font>
    <font>
      <sz val="14"/>
      <color theme="1"/>
      <name val="Calibri"/>
      <family val="2"/>
      <scheme val="minor"/>
    </font>
    <font>
      <sz val="10"/>
      <color theme="1"/>
      <name val="Arial"/>
      <family val="2"/>
    </font>
    <font>
      <b/>
      <sz val="10"/>
      <color theme="1"/>
      <name val="Arial"/>
      <family val="2"/>
    </font>
    <font>
      <sz val="12"/>
      <color theme="1"/>
      <name val="Calibri"/>
      <family val="2"/>
      <scheme val="minor"/>
    </font>
    <font>
      <u/>
      <sz val="12"/>
      <color theme="1"/>
      <name val="Calibri"/>
      <family val="2"/>
      <scheme val="minor"/>
    </font>
    <font>
      <b/>
      <sz val="14"/>
      <color theme="1"/>
      <name val="Calibri"/>
      <family val="2"/>
      <scheme val="minor"/>
    </font>
    <font>
      <b/>
      <u/>
      <sz val="12"/>
      <color theme="1"/>
      <name val="Calibri"/>
      <family val="2"/>
      <scheme val="minor"/>
    </font>
    <font>
      <b/>
      <sz val="12"/>
      <color theme="1"/>
      <name val="Calibri"/>
      <family val="2"/>
      <scheme val="minor"/>
    </font>
    <font>
      <u/>
      <sz val="10"/>
      <color theme="1"/>
      <name val="Arial"/>
      <family val="2"/>
    </font>
    <font>
      <b/>
      <u/>
      <sz val="10"/>
      <color theme="1"/>
      <name val="Arial"/>
      <family val="2"/>
    </font>
  </fonts>
  <fills count="2">
    <fill>
      <patternFill patternType="none"/>
    </fill>
    <fill>
      <patternFill patternType="gray125"/>
    </fill>
  </fills>
  <borders count="3">
    <border>
      <left/>
      <right/>
      <top/>
      <bottom/>
      <diagonal/>
    </border>
    <border>
      <left/>
      <right/>
      <top/>
      <bottom style="medium">
        <color rgb="FFDCDFE5"/>
      </bottom>
      <diagonal/>
    </border>
    <border>
      <left style="thin">
        <color theme="8"/>
      </left>
      <right style="thin">
        <color theme="8"/>
      </right>
      <top/>
      <bottom style="medium">
        <color theme="8"/>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5" fillId="0" borderId="0" xfId="0" applyFont="1" applyAlignment="1">
      <alignment horizontal="left" vertical="center" wrapText="1"/>
    </xf>
    <xf numFmtId="0" fontId="2" fillId="0" borderId="0" xfId="0" applyFont="1" applyAlignment="1">
      <alignment vertical="center" wrapText="1"/>
    </xf>
    <xf numFmtId="0" fontId="6" fillId="0" borderId="0" xfId="0" applyFont="1" applyAlignment="1">
      <alignment wrapText="1"/>
    </xf>
    <xf numFmtId="0" fontId="2" fillId="0" borderId="0" xfId="0" applyFont="1"/>
    <xf numFmtId="0" fontId="5" fillId="0" borderId="0" xfId="0" applyFont="1" applyAlignment="1">
      <alignment wrapText="1"/>
    </xf>
    <xf numFmtId="0" fontId="4" fillId="0" borderId="0" xfId="0" applyFont="1" applyAlignment="1">
      <alignment vertical="center" wrapText="1"/>
    </xf>
    <xf numFmtId="0" fontId="4"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1" fontId="0" fillId="0" borderId="0" xfId="0" applyNumberFormat="1"/>
    <xf numFmtId="0" fontId="7" fillId="0" borderId="0" xfId="0" applyFont="1"/>
    <xf numFmtId="2" fontId="0" fillId="0" borderId="0" xfId="0" applyNumberFormat="1"/>
    <xf numFmtId="0" fontId="0" fillId="0" borderId="0" xfId="0" pivotButton="1"/>
    <xf numFmtId="0" fontId="0" fillId="0" borderId="0" xfId="0" applyAlignment="1">
      <alignment horizontal="left"/>
    </xf>
    <xf numFmtId="1" fontId="2" fillId="0" borderId="0" xfId="0" applyNumberFormat="1" applyFont="1"/>
    <xf numFmtId="0" fontId="0" fillId="0" borderId="0" xfId="0" applyAlignment="1">
      <alignment vertical="top" wrapText="1"/>
    </xf>
    <xf numFmtId="0" fontId="4" fillId="0" borderId="0" xfId="0" applyFont="1" applyAlignment="1">
      <alignment wrapText="1"/>
    </xf>
    <xf numFmtId="0" fontId="7" fillId="0" borderId="2" xfId="0" applyFont="1" applyBorder="1"/>
    <xf numFmtId="2" fontId="2" fillId="0" borderId="0" xfId="0" applyNumberFormat="1" applyFont="1" applyAlignment="1" applyProtection="1">
      <alignment vertical="top" wrapText="1"/>
      <protection hidden="1"/>
    </xf>
    <xf numFmtId="0" fontId="0" fillId="0" borderId="0" xfId="0" applyAlignment="1" applyProtection="1">
      <alignment wrapText="1"/>
      <protection hidden="1"/>
    </xf>
    <xf numFmtId="2" fontId="2" fillId="0" borderId="0" xfId="0" applyNumberFormat="1" applyFont="1" applyProtection="1">
      <protection hidden="1"/>
    </xf>
    <xf numFmtId="0" fontId="0" fillId="0" borderId="0" xfId="0" applyAlignment="1" applyProtection="1">
      <alignment wrapText="1"/>
      <protection locked="0"/>
    </xf>
    <xf numFmtId="0" fontId="9" fillId="0" borderId="0" xfId="0" applyFont="1"/>
    <xf numFmtId="10" fontId="2" fillId="0" borderId="0" xfId="0" applyNumberFormat="1" applyFont="1" applyProtection="1">
      <protection hidden="1"/>
    </xf>
    <xf numFmtId="0" fontId="2" fillId="0" borderId="0" xfId="0" applyFont="1" applyProtection="1">
      <protection hidden="1"/>
    </xf>
  </cellXfs>
  <cellStyles count="1">
    <cellStyle name="Normal" xfId="0" builtinId="0"/>
  </cellStyles>
  <dxfs count="11">
    <dxf>
      <alignment horizontal="general" vertical="bottom" textRotation="0" wrapText="1" indent="0" justifyLastLine="0" shrinkToFit="0" readingOrder="0"/>
      <protection locked="0" hidden="0"/>
    </dxf>
    <dxf>
      <alignment horizontal="general" vertical="top" textRotation="0" wrapText="1" indent="0" justifyLastLine="0" shrinkToFit="0" readingOrder="0"/>
    </dxf>
    <dxf>
      <alignment horizontal="general" vertical="top" textRotation="0" wrapText="1" indent="0" justifyLastLine="0" shrinkToFit="0" readingOrder="0"/>
    </dxf>
    <dxf>
      <border outline="0">
        <top style="thin">
          <color theme="8"/>
        </top>
      </border>
    </dxf>
    <dxf>
      <border outline="0">
        <bottom style="medium">
          <color theme="8"/>
        </bottom>
      </border>
    </dxf>
    <dxf>
      <font>
        <b/>
        <i val="0"/>
        <strike val="0"/>
        <condense val="0"/>
        <extend val="0"/>
        <outline val="0"/>
        <shadow val="0"/>
        <u val="none"/>
        <vertAlign val="baseline"/>
        <sz val="14"/>
        <color theme="1"/>
        <name val="Calibri"/>
        <family val="2"/>
        <scheme val="minor"/>
      </font>
      <border diagonalUp="0" diagonalDown="0" outline="0">
        <left style="thin">
          <color theme="8"/>
        </left>
        <right style="thin">
          <color theme="8"/>
        </right>
        <top/>
        <bottom/>
      </border>
    </dxf>
    <dxf>
      <alignment horizontal="general" vertical="bottom" textRotation="0" wrapText="1" indent="0" justifyLastLine="0" shrinkToFit="0" readingOrder="0"/>
      <protection locked="1" hidden="1"/>
    </dxf>
    <dxf>
      <font>
        <b val="0"/>
        <i val="0"/>
        <strike val="0"/>
        <condense val="0"/>
        <extend val="0"/>
        <outline val="0"/>
        <shadow val="0"/>
        <u/>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border outline="0">
        <bottom style="medium">
          <color rgb="FFDCDFE5"/>
        </bottom>
      </border>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[Swift_Security_Assess.xlsx]Results!PivotTable2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Results!$C$25</c:f>
              <c:strCache>
                <c:ptCount val="1"/>
                <c:pt idx="0">
                  <c:v>Sum of Weighted Scores</c:v>
                </c:pt>
              </c:strCache>
            </c:strRef>
          </c:tx>
          <c:spPr>
            <a:solidFill>
              <a:schemeClr val="accent1"/>
            </a:solidFill>
            <a:ln>
              <a:noFill/>
            </a:ln>
            <a:effectLst/>
          </c:spPr>
          <c:invertIfNegative val="0"/>
          <c:cat>
            <c:strRef>
              <c:f>Results!$B$26:$B$41</c:f>
              <c:strCache>
                <c:ptCount val="15"/>
                <c:pt idx="0">
                  <c:v>Restriction of Internet Access</c:v>
                </c:pt>
                <c:pt idx="1">
                  <c:v>Identity, Access, and Hygiene</c:v>
                </c:pt>
                <c:pt idx="2">
                  <c:v>Critical Activity Outsourcing</c:v>
                </c:pt>
                <c:pt idx="3">
                  <c:v>External Transmission Data Protection</c:v>
                </c:pt>
                <c:pt idx="4">
                  <c:v>Back Office Data Flow Security</c:v>
                </c:pt>
                <c:pt idx="5">
                  <c:v>Operating System Privileged Account Control</c:v>
                </c:pt>
                <c:pt idx="6">
                  <c:v>Transaction Business Controls</c:v>
                </c:pt>
                <c:pt idx="7">
                  <c:v>Operator Session Confidentiality and Integrity</c:v>
                </c:pt>
                <c:pt idx="8">
                  <c:v>SWIFT Environment Protection</c:v>
                </c:pt>
                <c:pt idx="9">
                  <c:v>RMA (Relationship Management Application) Business Controls</c:v>
                </c:pt>
                <c:pt idx="10">
                  <c:v>Security Hardening</c:v>
                </c:pt>
                <c:pt idx="11">
                  <c:v>Internal Data Flow Security</c:v>
                </c:pt>
                <c:pt idx="12">
                  <c:v>Security Updates</c:v>
                </c:pt>
                <c:pt idx="13">
                  <c:v>Virtualization or Cloud Platform Protection</c:v>
                </c:pt>
                <c:pt idx="14">
                  <c:v>Vulnerability Scanning</c:v>
                </c:pt>
              </c:strCache>
            </c:strRef>
          </c:cat>
          <c:val>
            <c:numRef>
              <c:f>Results!$C$26:$C$41</c:f>
              <c:numCache>
                <c:formatCode>0.00</c:formatCode>
                <c:ptCount val="15"/>
                <c:pt idx="0">
                  <c:v>2.4000000000000004</c:v>
                </c:pt>
                <c:pt idx="1">
                  <c:v>1.875</c:v>
                </c:pt>
                <c:pt idx="2">
                  <c:v>1.7999999999999998</c:v>
                </c:pt>
                <c:pt idx="3">
                  <c:v>1.7999999999999998</c:v>
                </c:pt>
                <c:pt idx="4">
                  <c:v>1.7999999999999998</c:v>
                </c:pt>
                <c:pt idx="5">
                  <c:v>1.6500000000000001</c:v>
                </c:pt>
                <c:pt idx="6">
                  <c:v>1.6</c:v>
                </c:pt>
                <c:pt idx="7">
                  <c:v>1.6</c:v>
                </c:pt>
                <c:pt idx="8">
                  <c:v>1.4</c:v>
                </c:pt>
                <c:pt idx="9">
                  <c:v>1.4</c:v>
                </c:pt>
                <c:pt idx="10">
                  <c:v>1.3</c:v>
                </c:pt>
                <c:pt idx="11">
                  <c:v>0.9</c:v>
                </c:pt>
                <c:pt idx="12">
                  <c:v>0.70833333333333337</c:v>
                </c:pt>
                <c:pt idx="13">
                  <c:v>0.7</c:v>
                </c:pt>
                <c:pt idx="14">
                  <c:v>0.55000000000000004</c:v>
                </c:pt>
              </c:numCache>
            </c:numRef>
          </c:val>
          <c:extLst>
            <c:ext xmlns:c16="http://schemas.microsoft.com/office/drawing/2014/chart" uri="{C3380CC4-5D6E-409C-BE32-E72D297353CC}">
              <c16:uniqueId val="{00000000-8F0C-469C-B65B-0786716A5D78}"/>
            </c:ext>
          </c:extLst>
        </c:ser>
        <c:ser>
          <c:idx val="1"/>
          <c:order val="1"/>
          <c:tx>
            <c:strRef>
              <c:f>Results!$D$25</c:f>
              <c:strCache>
                <c:ptCount val="1"/>
                <c:pt idx="0">
                  <c:v>Sum of Weight Multipliers</c:v>
                </c:pt>
              </c:strCache>
            </c:strRef>
          </c:tx>
          <c:spPr>
            <a:solidFill>
              <a:schemeClr val="accent2"/>
            </a:solidFill>
            <a:ln>
              <a:noFill/>
            </a:ln>
            <a:effectLst/>
          </c:spPr>
          <c:invertIfNegative val="0"/>
          <c:cat>
            <c:strRef>
              <c:f>Results!$B$26:$B$41</c:f>
              <c:strCache>
                <c:ptCount val="15"/>
                <c:pt idx="0">
                  <c:v>Restriction of Internet Access</c:v>
                </c:pt>
                <c:pt idx="1">
                  <c:v>Identity, Access, and Hygiene</c:v>
                </c:pt>
                <c:pt idx="2">
                  <c:v>Critical Activity Outsourcing</c:v>
                </c:pt>
                <c:pt idx="3">
                  <c:v>External Transmission Data Protection</c:v>
                </c:pt>
                <c:pt idx="4">
                  <c:v>Back Office Data Flow Security</c:v>
                </c:pt>
                <c:pt idx="5">
                  <c:v>Operating System Privileged Account Control</c:v>
                </c:pt>
                <c:pt idx="6">
                  <c:v>Transaction Business Controls</c:v>
                </c:pt>
                <c:pt idx="7">
                  <c:v>Operator Session Confidentiality and Integrity</c:v>
                </c:pt>
                <c:pt idx="8">
                  <c:v>SWIFT Environment Protection</c:v>
                </c:pt>
                <c:pt idx="9">
                  <c:v>RMA (Relationship Management Application) Business Controls</c:v>
                </c:pt>
                <c:pt idx="10">
                  <c:v>Security Hardening</c:v>
                </c:pt>
                <c:pt idx="11">
                  <c:v>Internal Data Flow Security</c:v>
                </c:pt>
                <c:pt idx="12">
                  <c:v>Security Updates</c:v>
                </c:pt>
                <c:pt idx="13">
                  <c:v>Virtualization or Cloud Platform Protection</c:v>
                </c:pt>
                <c:pt idx="14">
                  <c:v>Vulnerability Scanning</c:v>
                </c:pt>
              </c:strCache>
            </c:strRef>
          </c:cat>
          <c:val>
            <c:numRef>
              <c:f>Results!$D$26:$D$41</c:f>
              <c:numCache>
                <c:formatCode>0</c:formatCode>
                <c:ptCount val="15"/>
                <c:pt idx="0">
                  <c:v>3</c:v>
                </c:pt>
                <c:pt idx="1">
                  <c:v>3</c:v>
                </c:pt>
                <c:pt idx="2">
                  <c:v>3</c:v>
                </c:pt>
                <c:pt idx="3">
                  <c:v>3</c:v>
                </c:pt>
                <c:pt idx="4">
                  <c:v>3</c:v>
                </c:pt>
                <c:pt idx="5">
                  <c:v>3</c:v>
                </c:pt>
                <c:pt idx="6">
                  <c:v>2</c:v>
                </c:pt>
                <c:pt idx="7">
                  <c:v>2</c:v>
                </c:pt>
                <c:pt idx="8">
                  <c:v>2</c:v>
                </c:pt>
                <c:pt idx="9">
                  <c:v>2</c:v>
                </c:pt>
                <c:pt idx="10">
                  <c:v>2</c:v>
                </c:pt>
                <c:pt idx="11">
                  <c:v>2</c:v>
                </c:pt>
                <c:pt idx="12">
                  <c:v>1</c:v>
                </c:pt>
                <c:pt idx="13">
                  <c:v>1</c:v>
                </c:pt>
                <c:pt idx="14">
                  <c:v>1</c:v>
                </c:pt>
              </c:numCache>
            </c:numRef>
          </c:val>
          <c:extLst>
            <c:ext xmlns:c16="http://schemas.microsoft.com/office/drawing/2014/chart" uri="{C3380CC4-5D6E-409C-BE32-E72D297353CC}">
              <c16:uniqueId val="{00000002-8F0C-469C-B65B-0786716A5D78}"/>
            </c:ext>
          </c:extLst>
        </c:ser>
        <c:dLbls>
          <c:showLegendKey val="0"/>
          <c:showVal val="0"/>
          <c:showCatName val="0"/>
          <c:showSerName val="0"/>
          <c:showPercent val="0"/>
          <c:showBubbleSize val="0"/>
        </c:dLbls>
        <c:gapWidth val="219"/>
        <c:overlap val="-27"/>
        <c:axId val="1545010688"/>
        <c:axId val="1307038128"/>
      </c:barChart>
      <c:catAx>
        <c:axId val="15450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38128"/>
        <c:crosses val="autoZero"/>
        <c:auto val="1"/>
        <c:lblAlgn val="ctr"/>
        <c:lblOffset val="100"/>
        <c:noMultiLvlLbl val="0"/>
      </c:catAx>
      <c:valAx>
        <c:axId val="1307038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01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198120</xdr:colOff>
      <xdr:row>25</xdr:row>
      <xdr:rowOff>125730</xdr:rowOff>
    </xdr:from>
    <xdr:to>
      <xdr:col>0</xdr:col>
      <xdr:colOff>4770120</xdr:colOff>
      <xdr:row>40</xdr:row>
      <xdr:rowOff>125730</xdr:rowOff>
    </xdr:to>
    <xdr:graphicFrame macro="">
      <xdr:nvGraphicFramePr>
        <xdr:cNvPr id="3" name="Chart 2">
          <a:extLst>
            <a:ext uri="{FF2B5EF4-FFF2-40B4-BE49-F238E27FC236}">
              <a16:creationId xmlns:a16="http://schemas.microsoft.com/office/drawing/2014/main" id="{A939A2ED-0CF2-3667-E9F8-BA869338F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lkarni" refreshedDate="46204.069390509256" createdVersion="8" refreshedVersion="8" minRefreshableVersion="3" recordCount="15" xr:uid="{73E725C9-0259-4355-8BE1-C6E352FC3D0B}">
  <cacheSource type="worksheet">
    <worksheetSource ref="A1:D16" sheet="Results"/>
  </cacheSource>
  <cacheFields count="4">
    <cacheField name="Category" numFmtId="0">
      <sharedItems count="15">
        <s v="SWIFT Environment Protection"/>
        <s v="Operating System Privileged Account Control"/>
        <s v="Virtualization or Cloud Platform Protection"/>
        <s v="Restriction of Internet Access"/>
        <s v="Internal Data Flow Security"/>
        <s v="Security Updates"/>
        <s v="Security Hardening"/>
        <s v="Back Office Data Flow Security"/>
        <s v="External Transmission Data Protection"/>
        <s v="Operator Session Confidentiality and Integrity"/>
        <s v="Vulnerability Scanning"/>
        <s v="Critical Activity Outsourcing"/>
        <s v="Transaction Business Controls"/>
        <s v="RMA (Relationship Management Application) Business Controls"/>
        <s v="Identity, Access, and Hygiene"/>
      </sharedItems>
    </cacheField>
    <cacheField name="Category Score Formula" numFmtId="2">
      <sharedItems containsSemiMixedTypes="0" containsString="0" containsNumber="1" minValue="0.45" maxValue="0.8"/>
    </cacheField>
    <cacheField name="Weight Multipliers" numFmtId="1">
      <sharedItems containsSemiMixedTypes="0" containsString="0" containsNumber="1" containsInteger="1" minValue="1" maxValue="3"/>
    </cacheField>
    <cacheField name="Weighted Scores" numFmtId="2">
      <sharedItems containsSemiMixedTypes="0" containsString="0" containsNumber="1" minValue="0.55000000000000004" maxValue="2.4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0.7"/>
    <n v="2"/>
    <n v="1.4"/>
  </r>
  <r>
    <x v="1"/>
    <n v="0.55000000000000004"/>
    <n v="3"/>
    <n v="1.6500000000000001"/>
  </r>
  <r>
    <x v="2"/>
    <n v="0.7"/>
    <n v="1"/>
    <n v="0.7"/>
  </r>
  <r>
    <x v="3"/>
    <n v="0.8"/>
    <n v="3"/>
    <n v="2.4000000000000004"/>
  </r>
  <r>
    <x v="4"/>
    <n v="0.45"/>
    <n v="2"/>
    <n v="0.9"/>
  </r>
  <r>
    <x v="5"/>
    <n v="0.70833333333333337"/>
    <n v="1"/>
    <n v="0.70833333333333337"/>
  </r>
  <r>
    <x v="6"/>
    <n v="0.65"/>
    <n v="2"/>
    <n v="1.3"/>
  </r>
  <r>
    <x v="7"/>
    <n v="0.6"/>
    <n v="3"/>
    <n v="1.7999999999999998"/>
  </r>
  <r>
    <x v="8"/>
    <n v="0.6"/>
    <n v="3"/>
    <n v="1.7999999999999998"/>
  </r>
  <r>
    <x v="9"/>
    <n v="0.8"/>
    <n v="2"/>
    <n v="1.6"/>
  </r>
  <r>
    <x v="10"/>
    <n v="0.55000000000000004"/>
    <n v="1"/>
    <n v="0.55000000000000004"/>
  </r>
  <r>
    <x v="11"/>
    <n v="0.6"/>
    <n v="3"/>
    <n v="1.7999999999999998"/>
  </r>
  <r>
    <x v="12"/>
    <n v="0.8"/>
    <n v="2"/>
    <n v="1.6"/>
  </r>
  <r>
    <x v="13"/>
    <n v="0.7"/>
    <n v="2"/>
    <n v="1.4"/>
  </r>
  <r>
    <x v="14"/>
    <n v="0.625"/>
    <n v="3"/>
    <n v="1.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BEEA62-38BE-4FD4-B8B0-854F4BE485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D41" firstHeaderRow="0" firstDataRow="1" firstDataCol="1"/>
  <pivotFields count="4">
    <pivotField axis="axisRow" showAll="0" sortType="descending">
      <items count="16">
        <item x="7"/>
        <item x="11"/>
        <item x="8"/>
        <item x="14"/>
        <item x="4"/>
        <item x="1"/>
        <item x="9"/>
        <item x="3"/>
        <item x="13"/>
        <item x="6"/>
        <item x="5"/>
        <item x="0"/>
        <item x="12"/>
        <item x="2"/>
        <item x="10"/>
        <item t="default"/>
      </items>
      <autoSortScope>
        <pivotArea dataOnly="0" outline="0" fieldPosition="0">
          <references count="1">
            <reference field="4294967294" count="1" selected="0">
              <x v="0"/>
            </reference>
          </references>
        </pivotArea>
      </autoSortScope>
    </pivotField>
    <pivotField numFmtId="2" showAll="0"/>
    <pivotField dataField="1" numFmtId="1" showAll="0"/>
    <pivotField dataField="1" numFmtId="2" showAll="0"/>
  </pivotFields>
  <rowFields count="1">
    <field x="0"/>
  </rowFields>
  <rowItems count="16">
    <i>
      <x v="7"/>
    </i>
    <i>
      <x v="3"/>
    </i>
    <i>
      <x v="1"/>
    </i>
    <i>
      <x v="2"/>
    </i>
    <i>
      <x/>
    </i>
    <i>
      <x v="5"/>
    </i>
    <i>
      <x v="12"/>
    </i>
    <i>
      <x v="6"/>
    </i>
    <i>
      <x v="11"/>
    </i>
    <i>
      <x v="8"/>
    </i>
    <i>
      <x v="9"/>
    </i>
    <i>
      <x v="4"/>
    </i>
    <i>
      <x v="10"/>
    </i>
    <i>
      <x v="13"/>
    </i>
    <i>
      <x v="14"/>
    </i>
    <i t="grand">
      <x/>
    </i>
  </rowItems>
  <colFields count="1">
    <field x="-2"/>
  </colFields>
  <colItems count="2">
    <i>
      <x/>
    </i>
    <i i="1">
      <x v="1"/>
    </i>
  </colItems>
  <dataFields count="2">
    <dataField name="Sum of Weighted Scores" fld="3" baseField="0" baseItem="0" numFmtId="2"/>
    <dataField name="Sum of Weight Multipliers" fld="2" baseField="0"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C7E8A2-E37F-41A7-86BC-F8FA97E525B8}" name="Table1" displayName="Table1" ref="A1:D78" totalsRowShown="0" headerRowDxfId="10" headerRowBorderDxfId="9">
  <autoFilter ref="A1:D78" xr:uid="{BCC7E8A2-E37F-41A7-86BC-F8FA97E525B8}"/>
  <tableColumns count="4">
    <tableColumn id="1" xr3:uid="{67AED665-9562-40D2-B38F-062B6736059F}" name="Category" dataDxfId="8"/>
    <tableColumn id="2" xr3:uid="{03F2FCFE-1DC5-4C77-B920-EF0B3618A66A}" name="Client-Specific Question" dataDxfId="7"/>
    <tableColumn id="3" xr3:uid="{52A3C89F-0892-4359-836A-E4C61F7FF7C1}" name="User Priority" dataDxfId="0"/>
    <tableColumn id="4" xr3:uid="{49C6DBFA-626B-4C33-9B5E-2F7D83EB221F}" name="User Score" dataDxfId="6">
      <calculatedColumnFormula array="1">_xlfn.SWITCH(C2,"A", 0.25,"B", 0.5, "C", 0.75,"D", 1)</calculatedColumnFormula>
    </tableColumn>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2E6E7C-8ECA-4837-84DE-CF3FB012C833}" name="Table2" displayName="Table2" ref="A1:D22" totalsRowShown="0">
  <autoFilter ref="A1:D22" xr:uid="{A02E6E7C-8ECA-4837-84DE-CF3FB012C833}"/>
  <tableColumns count="4">
    <tableColumn id="1" xr3:uid="{36C818EA-FF4F-4EF8-9699-B8199EDBCDDC}" name="Category"/>
    <tableColumn id="2" xr3:uid="{227A858A-1655-4FEA-B85E-43B6D1EA2D81}" name="Category Score Formula"/>
    <tableColumn id="3" xr3:uid="{30F7516E-580B-4473-866B-DE0E48C12EA7}" name="Weight Multipliers"/>
    <tableColumn id="4" xr3:uid="{14D970A6-89E5-4846-A45B-08158A302F7E}" name="Weighted Scores"/>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15CCF-D726-40C5-8B85-899402E9AE03}" name="Table3" displayName="Table3" ref="A1:C5" totalsRowShown="0" headerRowDxfId="5" headerRowBorderDxfId="4" tableBorderDxfId="3">
  <autoFilter ref="A1:C5" xr:uid="{E2B15CCF-D726-40C5-8B85-899402E9AE03}"/>
  <tableColumns count="3">
    <tableColumn id="1" xr3:uid="{957247C0-1F8E-4F1F-BBB9-AB5E4959E43C}" name="States"/>
    <tableColumn id="2" xr3:uid="{09A551D2-0ADE-4765-8888-B42CA7137A32}" name="Definitions" dataDxfId="2"/>
    <tableColumn id="3" xr3:uid="{487F9945-FAA7-488D-BFDC-38B5E2BCA065}" name="Operational Impact" dataDxfId="1"/>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1769-FCDF-4B8B-B2E2-910F9E184AE9}">
  <dimension ref="A1:D81"/>
  <sheetViews>
    <sheetView tabSelected="1" topLeftCell="A76" zoomScale="93" zoomScaleNormal="93" workbookViewId="0">
      <selection activeCell="C21" sqref="C21"/>
    </sheetView>
  </sheetViews>
  <sheetFormatPr defaultRowHeight="14.4" x14ac:dyDescent="0.3"/>
  <cols>
    <col min="1" max="1" width="72.109375" customWidth="1"/>
    <col min="2" max="2" width="122.109375" customWidth="1"/>
    <col min="3" max="3" width="33.77734375" customWidth="1"/>
    <col min="4" max="4" width="32.5546875" customWidth="1"/>
    <col min="5" max="5" width="40.5546875" customWidth="1"/>
  </cols>
  <sheetData>
    <row r="1" spans="1:4" ht="21.6" thickBot="1" x14ac:dyDescent="0.35">
      <c r="A1" s="1" t="s">
        <v>0</v>
      </c>
      <c r="B1" s="1" t="s">
        <v>1</v>
      </c>
      <c r="C1" s="1" t="s">
        <v>2</v>
      </c>
      <c r="D1" s="1" t="s">
        <v>3</v>
      </c>
    </row>
    <row r="2" spans="1:4" ht="93.6" x14ac:dyDescent="0.35">
      <c r="A2" s="3" t="s">
        <v>4</v>
      </c>
      <c r="B2" s="4" t="s">
        <v>5</v>
      </c>
      <c r="C2" s="25" t="s">
        <v>96</v>
      </c>
      <c r="D2" s="23" cm="1">
        <f t="array" ref="D2">_xlfn.SWITCH(C2,"A", 0.25,"B", 0.5, "C", 0.75,"D", 1)</f>
        <v>0.25</v>
      </c>
    </row>
    <row r="3" spans="1:4" ht="93.6" x14ac:dyDescent="0.35">
      <c r="A3" s="3" t="s">
        <v>4</v>
      </c>
      <c r="B3" s="4" t="s">
        <v>6</v>
      </c>
      <c r="C3" s="25" t="s">
        <v>96</v>
      </c>
      <c r="D3" s="23" cm="1">
        <f t="array" ref="D3">_xlfn.SWITCH(C3,"A", 0.25,"B", 0.5, "C", 0.75,"D", 1)</f>
        <v>0.25</v>
      </c>
    </row>
    <row r="4" spans="1:4" ht="109.2" x14ac:dyDescent="0.35">
      <c r="A4" s="3" t="s">
        <v>4</v>
      </c>
      <c r="B4" s="4" t="s">
        <v>7</v>
      </c>
      <c r="C4" s="25" t="s">
        <v>8</v>
      </c>
      <c r="D4" s="23" cm="1">
        <f t="array" ref="D4">_xlfn.SWITCH(C4,"A", 0.25,"B", 0.5, "C", 0.75,"D", 1)</f>
        <v>0.5</v>
      </c>
    </row>
    <row r="5" spans="1:4" ht="93.6" x14ac:dyDescent="0.35">
      <c r="A5" s="3" t="s">
        <v>4</v>
      </c>
      <c r="B5" s="4" t="s">
        <v>9</v>
      </c>
      <c r="C5" s="25" t="s">
        <v>8</v>
      </c>
      <c r="D5" s="23" cm="1">
        <f t="array" ref="D5">_xlfn.SWITCH(C5,"A", 0.25,"B", 0.5, "C", 0.75,"D", 1)</f>
        <v>0.5</v>
      </c>
    </row>
    <row r="6" spans="1:4" ht="93.6" x14ac:dyDescent="0.35">
      <c r="A6" s="3" t="s">
        <v>4</v>
      </c>
      <c r="B6" s="4" t="s">
        <v>10</v>
      </c>
      <c r="C6" s="25" t="s">
        <v>8</v>
      </c>
      <c r="D6" s="23" cm="1">
        <f t="array" ref="D6">_xlfn.SWITCH(C6,"A", 0.25,"B", 0.5, "C", 0.75,"D", 1)</f>
        <v>0.5</v>
      </c>
    </row>
    <row r="7" spans="1:4" ht="109.2" x14ac:dyDescent="0.3">
      <c r="A7" s="5" t="s">
        <v>11</v>
      </c>
      <c r="B7" s="6" t="s">
        <v>12</v>
      </c>
      <c r="C7" s="25" t="s">
        <v>96</v>
      </c>
      <c r="D7" s="23" cm="1">
        <f t="array" ref="D7">_xlfn.SWITCH(C7,"A", 0.25,"B", 0.5, "C", 0.75,"D", 1)</f>
        <v>0.25</v>
      </c>
    </row>
    <row r="8" spans="1:4" ht="93.6" x14ac:dyDescent="0.3">
      <c r="A8" s="5" t="s">
        <v>11</v>
      </c>
      <c r="B8" s="6" t="s">
        <v>13</v>
      </c>
      <c r="C8" s="25" t="s">
        <v>96</v>
      </c>
      <c r="D8" s="23" cm="1">
        <f t="array" ref="D8">_xlfn.SWITCH(C8,"A", 0.25,"B", 0.5, "C", 0.75,"D", 1)</f>
        <v>0.25</v>
      </c>
    </row>
    <row r="9" spans="1:4" ht="93.6" x14ac:dyDescent="0.3">
      <c r="A9" s="5" t="s">
        <v>11</v>
      </c>
      <c r="B9" s="6" t="s">
        <v>14</v>
      </c>
      <c r="C9" s="25" t="s">
        <v>96</v>
      </c>
      <c r="D9" s="23" cm="1">
        <f t="array" ref="D9">_xlfn.SWITCH(C9,"A", 0.25,"B", 0.5, "C", 0.75,"D", 1)</f>
        <v>0.25</v>
      </c>
    </row>
    <row r="10" spans="1:4" ht="109.2" x14ac:dyDescent="0.3">
      <c r="A10" s="5" t="s">
        <v>11</v>
      </c>
      <c r="B10" s="6" t="s">
        <v>15</v>
      </c>
      <c r="C10" s="25" t="s">
        <v>8</v>
      </c>
      <c r="D10" s="23" cm="1">
        <f t="array" ref="D10">_xlfn.SWITCH(C10,"A", 0.25,"B", 0.5, "C", 0.75,"D", 1)</f>
        <v>0.5</v>
      </c>
    </row>
    <row r="11" spans="1:4" ht="93.6" x14ac:dyDescent="0.3">
      <c r="A11" s="5" t="s">
        <v>11</v>
      </c>
      <c r="B11" s="6" t="s">
        <v>16</v>
      </c>
      <c r="C11" s="25" t="s">
        <v>95</v>
      </c>
      <c r="D11" s="23" cm="1">
        <f t="array" ref="D11">_xlfn.SWITCH(C11,"A", 0.25,"B", 0.5, "C", 0.75,"D", 1)</f>
        <v>0.75</v>
      </c>
    </row>
    <row r="12" spans="1:4" ht="109.8" x14ac:dyDescent="0.35">
      <c r="A12" s="7" t="s">
        <v>17</v>
      </c>
      <c r="B12" s="6" t="s">
        <v>18</v>
      </c>
      <c r="C12" s="25" t="s">
        <v>8</v>
      </c>
      <c r="D12" s="23" cm="1">
        <f t="array" ref="D12">_xlfn.SWITCH(C12,"A", 0.25,"B", 0.5, "C", 0.75,"D", 1)</f>
        <v>0.5</v>
      </c>
    </row>
    <row r="13" spans="1:4" ht="141" x14ac:dyDescent="0.35">
      <c r="A13" s="7" t="s">
        <v>17</v>
      </c>
      <c r="B13" s="6" t="s">
        <v>19</v>
      </c>
      <c r="C13" s="25" t="s">
        <v>8</v>
      </c>
      <c r="D13" s="23" cm="1">
        <f t="array" ref="D13">_xlfn.SWITCH(C13,"A", 0.25,"B", 0.5, "C", 0.75,"D", 1)</f>
        <v>0.5</v>
      </c>
    </row>
    <row r="14" spans="1:4" ht="109.8" x14ac:dyDescent="0.35">
      <c r="A14" s="7" t="s">
        <v>17</v>
      </c>
      <c r="B14" s="6" t="s">
        <v>18</v>
      </c>
      <c r="C14" s="25" t="s">
        <v>8</v>
      </c>
      <c r="D14" s="23" cm="1">
        <f t="array" ref="D14">_xlfn.SWITCH(C14,"A", 0.25,"B", 0.5, "C", 0.75,"D", 1)</f>
        <v>0.5</v>
      </c>
    </row>
    <row r="15" spans="1:4" ht="109.8" x14ac:dyDescent="0.35">
      <c r="A15" s="7" t="s">
        <v>17</v>
      </c>
      <c r="B15" s="6" t="s">
        <v>20</v>
      </c>
      <c r="C15" s="25" t="s">
        <v>8</v>
      </c>
      <c r="D15" s="23" cm="1">
        <f t="array" ref="D15">_xlfn.SWITCH(C15,"A", 0.25,"B", 0.5, "C", 0.75,"D", 1)</f>
        <v>0.5</v>
      </c>
    </row>
    <row r="16" spans="1:4" ht="94.2" x14ac:dyDescent="0.35">
      <c r="A16" s="7" t="s">
        <v>17</v>
      </c>
      <c r="B16" s="6" t="s">
        <v>21</v>
      </c>
      <c r="C16" s="25" t="s">
        <v>96</v>
      </c>
      <c r="D16" s="23" cm="1">
        <f t="array" ref="D16">_xlfn.SWITCH(C16,"A", 0.25,"B", 0.5, "C", 0.75,"D", 1)</f>
        <v>0.25</v>
      </c>
    </row>
    <row r="17" spans="1:4" ht="94.2" x14ac:dyDescent="0.35">
      <c r="A17" s="3" t="s">
        <v>22</v>
      </c>
      <c r="B17" s="6" t="s">
        <v>23</v>
      </c>
      <c r="C17" s="25" t="s">
        <v>8</v>
      </c>
      <c r="D17" s="23" cm="1">
        <f t="array" ref="D17">_xlfn.SWITCH(C17,"A", 0.25,"B", 0.5, "C", 0.75,"D", 1)</f>
        <v>0.5</v>
      </c>
    </row>
    <row r="18" spans="1:4" ht="109.8" x14ac:dyDescent="0.35">
      <c r="A18" s="3" t="s">
        <v>22</v>
      </c>
      <c r="B18" s="6" t="s">
        <v>24</v>
      </c>
      <c r="C18" s="25" t="s">
        <v>8</v>
      </c>
      <c r="D18" s="23" cm="1">
        <f t="array" ref="D18">_xlfn.SWITCH(C18,"A", 0.25,"B", 0.5, "C", 0.75,"D", 1)</f>
        <v>0.5</v>
      </c>
    </row>
    <row r="19" spans="1:4" ht="94.2" x14ac:dyDescent="0.35">
      <c r="A19" s="3" t="s">
        <v>22</v>
      </c>
      <c r="B19" s="6" t="s">
        <v>25</v>
      </c>
      <c r="C19" s="25" t="s">
        <v>8</v>
      </c>
      <c r="D19" s="23" cm="1">
        <f t="array" ref="D19">_xlfn.SWITCH(C19,"A", 0.25,"B", 0.5, "C", 0.75,"D", 1)</f>
        <v>0.5</v>
      </c>
    </row>
    <row r="20" spans="1:4" ht="94.2" x14ac:dyDescent="0.35">
      <c r="A20" s="3" t="s">
        <v>22</v>
      </c>
      <c r="B20" s="6" t="s">
        <v>26</v>
      </c>
      <c r="C20" s="25" t="s">
        <v>8</v>
      </c>
      <c r="D20" s="23" cm="1">
        <f t="array" ref="D20">_xlfn.SWITCH(C20,"A", 0.25,"B", 0.5, "C", 0.75,"D", 1)</f>
        <v>0.5</v>
      </c>
    </row>
    <row r="21" spans="1:4" ht="109.8" x14ac:dyDescent="0.35">
      <c r="A21" s="3" t="s">
        <v>22</v>
      </c>
      <c r="B21" s="6" t="s">
        <v>27</v>
      </c>
      <c r="C21" s="25" t="s">
        <v>8</v>
      </c>
      <c r="D21" s="23" cm="1">
        <f t="array" ref="D21">_xlfn.SWITCH(C21,"A", 0.25,"B", 0.5, "C", 0.75,"D", 1)</f>
        <v>0.5</v>
      </c>
    </row>
    <row r="22" spans="1:4" ht="94.2" x14ac:dyDescent="0.35">
      <c r="A22" s="3" t="s">
        <v>28</v>
      </c>
      <c r="B22" s="6" t="s">
        <v>29</v>
      </c>
      <c r="C22" s="25" t="s">
        <v>8</v>
      </c>
      <c r="D22" s="23" cm="1">
        <f t="array" ref="D22">_xlfn.SWITCH(C22,"A", 0.25,"B", 0.5, "C", 0.75,"D", 1)</f>
        <v>0.5</v>
      </c>
    </row>
    <row r="23" spans="1:4" ht="94.2" x14ac:dyDescent="0.35">
      <c r="A23" s="3" t="s">
        <v>28</v>
      </c>
      <c r="B23" s="6" t="s">
        <v>30</v>
      </c>
      <c r="C23" s="25" t="s">
        <v>96</v>
      </c>
      <c r="D23" s="23" cm="1">
        <f t="array" ref="D23">_xlfn.SWITCH(C23,"A", 0.25,"B", 0.5, "C", 0.75,"D", 1)</f>
        <v>0.25</v>
      </c>
    </row>
    <row r="24" spans="1:4" ht="109.8" x14ac:dyDescent="0.35">
      <c r="A24" s="3" t="s">
        <v>28</v>
      </c>
      <c r="B24" s="6" t="s">
        <v>31</v>
      </c>
      <c r="C24" s="25" t="s">
        <v>96</v>
      </c>
      <c r="D24" s="23" cm="1">
        <f t="array" ref="D24">_xlfn.SWITCH(C24,"A", 0.25,"B", 0.5, "C", 0.75,"D", 1)</f>
        <v>0.25</v>
      </c>
    </row>
    <row r="25" spans="1:4" ht="94.2" x14ac:dyDescent="0.35">
      <c r="A25" s="3" t="s">
        <v>28</v>
      </c>
      <c r="B25" s="6" t="s">
        <v>32</v>
      </c>
      <c r="C25" s="25" t="s">
        <v>8</v>
      </c>
      <c r="D25" s="23" cm="1">
        <f t="array" ref="D25">_xlfn.SWITCH(C25,"A", 0.25,"B", 0.5, "C", 0.75,"D", 1)</f>
        <v>0.5</v>
      </c>
    </row>
    <row r="26" spans="1:4" ht="109.8" x14ac:dyDescent="0.35">
      <c r="A26" s="3" t="s">
        <v>28</v>
      </c>
      <c r="B26" s="6" t="s">
        <v>33</v>
      </c>
      <c r="C26" s="25" t="s">
        <v>95</v>
      </c>
      <c r="D26" s="23" cm="1">
        <f t="array" ref="D26">_xlfn.SWITCH(C26,"A", 0.25,"B", 0.5, "C", 0.75,"D", 1)</f>
        <v>0.75</v>
      </c>
    </row>
    <row r="27" spans="1:4" ht="109.8" x14ac:dyDescent="0.35">
      <c r="A27" s="7" t="s">
        <v>34</v>
      </c>
      <c r="B27" s="6" t="s">
        <v>35</v>
      </c>
      <c r="C27" s="25" t="s">
        <v>97</v>
      </c>
      <c r="D27" s="23" cm="1">
        <f t="array" ref="D27">_xlfn.SWITCH(C27,"A", 0.25,"B", 0.5, "C", 0.75,"D", 1)</f>
        <v>1</v>
      </c>
    </row>
    <row r="28" spans="1:4" ht="94.2" x14ac:dyDescent="0.35">
      <c r="A28" s="7" t="s">
        <v>34</v>
      </c>
      <c r="B28" s="6" t="s">
        <v>36</v>
      </c>
      <c r="C28" s="25" t="s">
        <v>97</v>
      </c>
      <c r="D28" s="23" cm="1">
        <f t="array" ref="D28">_xlfn.SWITCH(C28,"A", 0.25,"B", 0.5, "C", 0.75,"D", 1)</f>
        <v>1</v>
      </c>
    </row>
    <row r="29" spans="1:4" ht="109.8" x14ac:dyDescent="0.35">
      <c r="A29" s="7" t="s">
        <v>34</v>
      </c>
      <c r="B29" s="6" t="s">
        <v>35</v>
      </c>
      <c r="C29" s="25" t="s">
        <v>95</v>
      </c>
      <c r="D29" s="23" cm="1">
        <f t="array" ref="D29">_xlfn.SWITCH(C29,"A", 0.25,"B", 0.5, "C", 0.75,"D", 1)</f>
        <v>0.75</v>
      </c>
    </row>
    <row r="30" spans="1:4" ht="94.2" x14ac:dyDescent="0.35">
      <c r="A30" s="7" t="s">
        <v>34</v>
      </c>
      <c r="B30" s="6" t="s">
        <v>37</v>
      </c>
      <c r="C30" s="25" t="s">
        <v>95</v>
      </c>
      <c r="D30" s="23" cm="1">
        <f t="array" ref="D30">_xlfn.SWITCH(C30,"A", 0.25,"B", 0.5, "C", 0.75,"D", 1)</f>
        <v>0.75</v>
      </c>
    </row>
    <row r="31" spans="1:4" ht="94.2" x14ac:dyDescent="0.35">
      <c r="A31" s="7" t="s">
        <v>34</v>
      </c>
      <c r="B31" s="6" t="s">
        <v>38</v>
      </c>
      <c r="C31" s="25" t="s">
        <v>8</v>
      </c>
      <c r="D31" s="23" cm="1">
        <f t="array" ref="D31">_xlfn.SWITCH(C31,"A", 0.25,"B", 0.5, "C", 0.75,"D", 1)</f>
        <v>0.5</v>
      </c>
    </row>
    <row r="32" spans="1:4" ht="94.2" x14ac:dyDescent="0.35">
      <c r="A32" s="7" t="s">
        <v>34</v>
      </c>
      <c r="B32" s="6" t="s">
        <v>39</v>
      </c>
      <c r="C32" s="25" t="s">
        <v>96</v>
      </c>
      <c r="D32" s="23" cm="1">
        <f t="array" ref="D32">_xlfn.SWITCH(C32,"A", 0.25,"B", 0.5, "C", 0.75,"D", 1)</f>
        <v>0.25</v>
      </c>
    </row>
    <row r="33" spans="1:4" ht="94.2" x14ac:dyDescent="0.35">
      <c r="A33" s="7" t="s">
        <v>40</v>
      </c>
      <c r="B33" s="6" t="s">
        <v>41</v>
      </c>
      <c r="C33" s="25" t="s">
        <v>96</v>
      </c>
      <c r="D33" s="23" cm="1">
        <f t="array" ref="D33">_xlfn.SWITCH(C33,"A", 0.25,"B", 0.5, "C", 0.75,"D", 1)</f>
        <v>0.25</v>
      </c>
    </row>
    <row r="34" spans="1:4" ht="94.2" x14ac:dyDescent="0.35">
      <c r="A34" s="7" t="s">
        <v>40</v>
      </c>
      <c r="B34" s="6" t="s">
        <v>42</v>
      </c>
      <c r="C34" s="25" t="s">
        <v>8</v>
      </c>
      <c r="D34" s="23" cm="1">
        <f t="array" ref="D34">_xlfn.SWITCH(C34,"A", 0.25,"B", 0.5, "C", 0.75,"D", 1)</f>
        <v>0.5</v>
      </c>
    </row>
    <row r="35" spans="1:4" ht="94.2" x14ac:dyDescent="0.35">
      <c r="A35" s="7" t="s">
        <v>40</v>
      </c>
      <c r="B35" s="6" t="s">
        <v>43</v>
      </c>
      <c r="C35" s="25" t="s">
        <v>95</v>
      </c>
      <c r="D35" s="23" cm="1">
        <f t="array" ref="D35">_xlfn.SWITCH(C35,"A", 0.25,"B", 0.5, "C", 0.75,"D", 1)</f>
        <v>0.75</v>
      </c>
    </row>
    <row r="36" spans="1:4" ht="94.2" x14ac:dyDescent="0.35">
      <c r="A36" s="7" t="s">
        <v>40</v>
      </c>
      <c r="B36" s="6" t="s">
        <v>44</v>
      </c>
      <c r="C36" s="25" t="s">
        <v>97</v>
      </c>
      <c r="D36" s="23" cm="1">
        <f t="array" ref="D36">_xlfn.SWITCH(C36,"A", 0.25,"B", 0.5, "C", 0.75,"D", 1)</f>
        <v>1</v>
      </c>
    </row>
    <row r="37" spans="1:4" ht="94.2" x14ac:dyDescent="0.35">
      <c r="A37" s="7" t="s">
        <v>40</v>
      </c>
      <c r="B37" s="6" t="s">
        <v>45</v>
      </c>
      <c r="C37" s="25" t="s">
        <v>95</v>
      </c>
      <c r="D37" s="23" cm="1">
        <f t="array" ref="D37">_xlfn.SWITCH(C37,"A", 0.25,"B", 0.5, "C", 0.75,"D", 1)</f>
        <v>0.75</v>
      </c>
    </row>
    <row r="38" spans="1:4" ht="94.2" x14ac:dyDescent="0.35">
      <c r="A38" s="7" t="s">
        <v>46</v>
      </c>
      <c r="B38" s="8" t="s">
        <v>47</v>
      </c>
      <c r="C38" s="25" t="s">
        <v>8</v>
      </c>
      <c r="D38" s="23" cm="1">
        <f t="array" ref="D38">_xlfn.SWITCH(C38,"A", 0.25,"B", 0.5, "C", 0.75,"D", 1)</f>
        <v>0.5</v>
      </c>
    </row>
    <row r="39" spans="1:4" ht="94.2" x14ac:dyDescent="0.35">
      <c r="A39" s="7" t="s">
        <v>46</v>
      </c>
      <c r="B39" s="8" t="s">
        <v>48</v>
      </c>
      <c r="C39" s="25" t="s">
        <v>96</v>
      </c>
      <c r="D39" s="23" cm="1">
        <f t="array" ref="D39">_xlfn.SWITCH(C39,"A", 0.25,"B", 0.5, "C", 0.75,"D", 1)</f>
        <v>0.25</v>
      </c>
    </row>
    <row r="40" spans="1:4" ht="94.2" x14ac:dyDescent="0.35">
      <c r="A40" s="7" t="s">
        <v>46</v>
      </c>
      <c r="B40" s="8" t="s">
        <v>49</v>
      </c>
      <c r="C40" s="25" t="s">
        <v>8</v>
      </c>
      <c r="D40" s="23" cm="1">
        <f t="array" ref="D40">_xlfn.SWITCH(C40,"A", 0.25,"B", 0.5, "C", 0.75,"D", 1)</f>
        <v>0.5</v>
      </c>
    </row>
    <row r="41" spans="1:4" ht="94.2" x14ac:dyDescent="0.35">
      <c r="A41" s="7" t="s">
        <v>46</v>
      </c>
      <c r="B41" s="8" t="s">
        <v>50</v>
      </c>
      <c r="C41" s="25" t="s">
        <v>95</v>
      </c>
      <c r="D41" s="23" cm="1">
        <f t="array" ref="D41">_xlfn.SWITCH(C41,"A", 0.25,"B", 0.5, "C", 0.75,"D", 1)</f>
        <v>0.75</v>
      </c>
    </row>
    <row r="42" spans="1:4" ht="94.2" x14ac:dyDescent="0.35">
      <c r="A42" s="7" t="s">
        <v>46</v>
      </c>
      <c r="B42" s="8" t="s">
        <v>51</v>
      </c>
      <c r="C42" s="25" t="s">
        <v>97</v>
      </c>
      <c r="D42" s="23" cm="1">
        <f t="array" ref="D42">_xlfn.SWITCH(C42,"A", 0.25,"B", 0.5, "C", 0.75,"D", 1)</f>
        <v>1</v>
      </c>
    </row>
    <row r="43" spans="1:4" ht="94.2" x14ac:dyDescent="0.35">
      <c r="A43" s="3" t="s">
        <v>52</v>
      </c>
      <c r="B43" s="6" t="s">
        <v>53</v>
      </c>
      <c r="C43" s="25" t="s">
        <v>97</v>
      </c>
      <c r="D43" s="23" cm="1">
        <f t="array" ref="D43">_xlfn.SWITCH(C43,"A", 0.25,"B", 0.5, "C", 0.75,"D", 1)</f>
        <v>1</v>
      </c>
    </row>
    <row r="44" spans="1:4" ht="94.2" x14ac:dyDescent="0.35">
      <c r="A44" s="3" t="s">
        <v>52</v>
      </c>
      <c r="B44" s="6" t="s">
        <v>54</v>
      </c>
      <c r="C44" s="25" t="s">
        <v>95</v>
      </c>
      <c r="D44" s="23" cm="1">
        <f t="array" ref="D44">_xlfn.SWITCH(C44,"A", 0.25,"B", 0.5, "C", 0.75,"D", 1)</f>
        <v>0.75</v>
      </c>
    </row>
    <row r="45" spans="1:4" ht="109.8" x14ac:dyDescent="0.35">
      <c r="A45" s="3" t="s">
        <v>52</v>
      </c>
      <c r="B45" s="6" t="s">
        <v>55</v>
      </c>
      <c r="C45" s="25" t="s">
        <v>8</v>
      </c>
      <c r="D45" s="23" cm="1">
        <f t="array" ref="D45">_xlfn.SWITCH(C45,"A", 0.25,"B", 0.5, "C", 0.75,"D", 1)</f>
        <v>0.5</v>
      </c>
    </row>
    <row r="46" spans="1:4" ht="94.2" x14ac:dyDescent="0.35">
      <c r="A46" s="3" t="s">
        <v>52</v>
      </c>
      <c r="B46" s="6" t="s">
        <v>56</v>
      </c>
      <c r="C46" s="25" t="s">
        <v>96</v>
      </c>
      <c r="D46" s="23" cm="1">
        <f t="array" ref="D46">_xlfn.SWITCH(C46,"A", 0.25,"B", 0.5, "C", 0.75,"D", 1)</f>
        <v>0.25</v>
      </c>
    </row>
    <row r="47" spans="1:4" ht="94.2" x14ac:dyDescent="0.35">
      <c r="A47" s="3" t="s">
        <v>52</v>
      </c>
      <c r="B47" s="6" t="s">
        <v>57</v>
      </c>
      <c r="C47" s="25" t="s">
        <v>8</v>
      </c>
      <c r="D47" s="23" cm="1">
        <f t="array" ref="D47">_xlfn.SWITCH(C47,"A", 0.25,"B", 0.5, "C", 0.75,"D", 1)</f>
        <v>0.5</v>
      </c>
    </row>
    <row r="48" spans="1:4" ht="96.6" customHeight="1" x14ac:dyDescent="0.35">
      <c r="A48" s="3" t="s">
        <v>58</v>
      </c>
      <c r="B48" s="6" t="s">
        <v>59</v>
      </c>
      <c r="C48" s="25" t="s">
        <v>95</v>
      </c>
      <c r="D48" s="23" cm="1">
        <f t="array" ref="D48">_xlfn.SWITCH(C48,"A", 0.25,"B", 0.5, "C", 0.75,"D", 1)</f>
        <v>0.75</v>
      </c>
    </row>
    <row r="49" spans="1:4" ht="94.2" x14ac:dyDescent="0.35">
      <c r="A49" s="3" t="s">
        <v>58</v>
      </c>
      <c r="B49" s="6" t="s">
        <v>60</v>
      </c>
      <c r="C49" s="25" t="s">
        <v>97</v>
      </c>
      <c r="D49" s="23" cm="1">
        <f t="array" ref="D49">_xlfn.SWITCH(C49,"A", 0.25,"B", 0.5, "C", 0.75,"D", 1)</f>
        <v>1</v>
      </c>
    </row>
    <row r="50" spans="1:4" ht="94.2" x14ac:dyDescent="0.35">
      <c r="A50" s="3" t="s">
        <v>58</v>
      </c>
      <c r="B50" s="6" t="s">
        <v>61</v>
      </c>
      <c r="C50" s="25" t="s">
        <v>97</v>
      </c>
      <c r="D50" s="23" cm="1">
        <f t="array" ref="D50">_xlfn.SWITCH(C50,"A", 0.25,"B", 0.5, "C", 0.75,"D", 1)</f>
        <v>1</v>
      </c>
    </row>
    <row r="51" spans="1:4" ht="94.2" x14ac:dyDescent="0.35">
      <c r="A51" s="3" t="s">
        <v>58</v>
      </c>
      <c r="B51" s="6" t="s">
        <v>62</v>
      </c>
      <c r="C51" s="25" t="s">
        <v>95</v>
      </c>
      <c r="D51" s="23" cm="1">
        <f t="array" ref="D51">_xlfn.SWITCH(C51,"A", 0.25,"B", 0.5, "C", 0.75,"D", 1)</f>
        <v>0.75</v>
      </c>
    </row>
    <row r="52" spans="1:4" ht="94.2" x14ac:dyDescent="0.35">
      <c r="A52" s="3" t="s">
        <v>58</v>
      </c>
      <c r="B52" s="6" t="s">
        <v>63</v>
      </c>
      <c r="C52" s="25" t="s">
        <v>8</v>
      </c>
      <c r="D52" s="23" cm="1">
        <f t="array" ref="D52">_xlfn.SWITCH(C52,"A", 0.25,"B", 0.5, "C", 0.75,"D", 1)</f>
        <v>0.5</v>
      </c>
    </row>
    <row r="53" spans="1:4" ht="91.8" customHeight="1" x14ac:dyDescent="0.35">
      <c r="A53" s="7" t="s">
        <v>64</v>
      </c>
      <c r="B53" s="6" t="s">
        <v>65</v>
      </c>
      <c r="C53" s="25" t="s">
        <v>96</v>
      </c>
      <c r="D53" s="23" cm="1">
        <f t="array" ref="D53">_xlfn.SWITCH(C53,"A", 0.25,"B", 0.5, "C", 0.75,"D", 1)</f>
        <v>0.25</v>
      </c>
    </row>
    <row r="54" spans="1:4" ht="109.8" x14ac:dyDescent="0.35">
      <c r="A54" s="7" t="s">
        <v>64</v>
      </c>
      <c r="B54" s="6" t="s">
        <v>66</v>
      </c>
      <c r="C54" s="25" t="s">
        <v>96</v>
      </c>
      <c r="D54" s="23" cm="1">
        <f t="array" ref="D54">_xlfn.SWITCH(C54,"A", 0.25,"B", 0.5, "C", 0.75,"D", 1)</f>
        <v>0.25</v>
      </c>
    </row>
    <row r="55" spans="1:4" ht="94.2" x14ac:dyDescent="0.35">
      <c r="A55" s="7" t="s">
        <v>64</v>
      </c>
      <c r="B55" s="6" t="s">
        <v>67</v>
      </c>
      <c r="C55" s="25" t="s">
        <v>8</v>
      </c>
      <c r="D55" s="23" cm="1">
        <f t="array" ref="D55">_xlfn.SWITCH(C55,"A", 0.25,"B", 0.5, "C", 0.75,"D", 1)</f>
        <v>0.5</v>
      </c>
    </row>
    <row r="56" spans="1:4" ht="94.2" x14ac:dyDescent="0.35">
      <c r="A56" s="7" t="s">
        <v>64</v>
      </c>
      <c r="B56" s="6" t="s">
        <v>68</v>
      </c>
      <c r="C56" s="25" t="s">
        <v>95</v>
      </c>
      <c r="D56" s="23" cm="1">
        <f t="array" ref="D56">_xlfn.SWITCH(C56,"A", 0.25,"B", 0.5, "C", 0.75,"D", 1)</f>
        <v>0.75</v>
      </c>
    </row>
    <row r="57" spans="1:4" ht="109.8" x14ac:dyDescent="0.35">
      <c r="A57" s="7" t="s">
        <v>64</v>
      </c>
      <c r="B57" s="6" t="s">
        <v>69</v>
      </c>
      <c r="C57" s="25" t="s">
        <v>97</v>
      </c>
      <c r="D57" s="23" cm="1">
        <f t="array" ref="D57">_xlfn.SWITCH(C57,"A", 0.25,"B", 0.5, "C", 0.75,"D", 1)</f>
        <v>1</v>
      </c>
    </row>
    <row r="58" spans="1:4" ht="94.2" x14ac:dyDescent="0.35">
      <c r="A58" s="7" t="s">
        <v>70</v>
      </c>
      <c r="B58" s="6" t="s">
        <v>75</v>
      </c>
      <c r="C58" s="25" t="s">
        <v>97</v>
      </c>
      <c r="D58" s="23" cm="1">
        <f t="array" ref="D58">_xlfn.SWITCH(C58,"A", 0.25,"B", 0.5, "C", 0.75,"D", 1)</f>
        <v>1</v>
      </c>
    </row>
    <row r="59" spans="1:4" ht="94.2" x14ac:dyDescent="0.35">
      <c r="A59" s="7" t="s">
        <v>70</v>
      </c>
      <c r="B59" s="6" t="s">
        <v>74</v>
      </c>
      <c r="C59" s="25" t="s">
        <v>95</v>
      </c>
      <c r="D59" s="23" cm="1">
        <f t="array" ref="D59">_xlfn.SWITCH(C59,"A", 0.25,"B", 0.5, "C", 0.75,"D", 1)</f>
        <v>0.75</v>
      </c>
    </row>
    <row r="60" spans="1:4" ht="94.2" x14ac:dyDescent="0.35">
      <c r="A60" s="7" t="s">
        <v>70</v>
      </c>
      <c r="B60" s="6" t="s">
        <v>73</v>
      </c>
      <c r="C60" s="25" t="s">
        <v>8</v>
      </c>
      <c r="D60" s="23" cm="1">
        <f t="array" ref="D60">_xlfn.SWITCH(C60,"A", 0.25,"B", 0.5, "C", 0.75,"D", 1)</f>
        <v>0.5</v>
      </c>
    </row>
    <row r="61" spans="1:4" ht="94.2" x14ac:dyDescent="0.35">
      <c r="A61" s="7" t="s">
        <v>70</v>
      </c>
      <c r="B61" s="6" t="s">
        <v>72</v>
      </c>
      <c r="C61" s="25" t="s">
        <v>96</v>
      </c>
      <c r="D61" s="23" cm="1">
        <f t="array" ref="D61">_xlfn.SWITCH(C61,"A", 0.25,"B", 0.5, "C", 0.75,"D", 1)</f>
        <v>0.25</v>
      </c>
    </row>
    <row r="62" spans="1:4" ht="94.2" x14ac:dyDescent="0.35">
      <c r="A62" s="7" t="s">
        <v>70</v>
      </c>
      <c r="B62" s="6" t="s">
        <v>71</v>
      </c>
      <c r="C62" s="25" t="s">
        <v>8</v>
      </c>
      <c r="D62" s="23" cm="1">
        <f t="array" ref="D62">_xlfn.SWITCH(C62,"A", 0.25,"B", 0.5, "C", 0.75,"D", 1)</f>
        <v>0.5</v>
      </c>
    </row>
    <row r="63" spans="1:4" ht="94.2" x14ac:dyDescent="0.35">
      <c r="A63" s="7" t="s">
        <v>76</v>
      </c>
      <c r="B63" s="6" t="s">
        <v>77</v>
      </c>
      <c r="C63" s="25" t="s">
        <v>95</v>
      </c>
      <c r="D63" s="23" cm="1">
        <f t="array" ref="D63">_xlfn.SWITCH(C63,"A", 0.25,"B", 0.5, "C", 0.75,"D", 1)</f>
        <v>0.75</v>
      </c>
    </row>
    <row r="64" spans="1:4" ht="94.2" x14ac:dyDescent="0.35">
      <c r="A64" s="7" t="s">
        <v>76</v>
      </c>
      <c r="B64" s="6" t="s">
        <v>78</v>
      </c>
      <c r="C64" s="25" t="s">
        <v>97</v>
      </c>
      <c r="D64" s="23" cm="1">
        <f t="array" ref="D64">_xlfn.SWITCH(C64,"A", 0.25,"B", 0.5, "C", 0.75,"D", 1)</f>
        <v>1</v>
      </c>
    </row>
    <row r="65" spans="1:4" ht="109.8" x14ac:dyDescent="0.35">
      <c r="A65" s="7" t="s">
        <v>76</v>
      </c>
      <c r="B65" s="6" t="s">
        <v>79</v>
      </c>
      <c r="C65" s="25" t="s">
        <v>97</v>
      </c>
      <c r="D65" s="23" cm="1">
        <f t="array" ref="D65">_xlfn.SWITCH(C65,"A", 0.25,"B", 0.5, "C", 0.75,"D", 1)</f>
        <v>1</v>
      </c>
    </row>
    <row r="66" spans="1:4" ht="94.2" x14ac:dyDescent="0.35">
      <c r="A66" s="7" t="s">
        <v>76</v>
      </c>
      <c r="B66" s="6" t="s">
        <v>80</v>
      </c>
      <c r="C66" s="25" t="s">
        <v>95</v>
      </c>
      <c r="D66" s="23" cm="1">
        <f t="array" ref="D66">_xlfn.SWITCH(C66,"A", 0.25,"B", 0.5, "C", 0.75,"D", 1)</f>
        <v>0.75</v>
      </c>
    </row>
    <row r="67" spans="1:4" ht="94.2" x14ac:dyDescent="0.35">
      <c r="A67" s="7" t="s">
        <v>76</v>
      </c>
      <c r="B67" s="6" t="s">
        <v>81</v>
      </c>
      <c r="C67" s="25" t="s">
        <v>8</v>
      </c>
      <c r="D67" s="23" cm="1">
        <f t="array" ref="D67">_xlfn.SWITCH(C67,"A", 0.25,"B", 0.5, "C", 0.75,"D", 1)</f>
        <v>0.5</v>
      </c>
    </row>
    <row r="68" spans="1:4" ht="94.2" x14ac:dyDescent="0.35">
      <c r="A68" s="7" t="s">
        <v>82</v>
      </c>
      <c r="B68" s="6" t="s">
        <v>83</v>
      </c>
      <c r="C68" s="25" t="s">
        <v>96</v>
      </c>
      <c r="D68" s="23" cm="1">
        <f t="array" ref="D68">_xlfn.SWITCH(C68,"A", 0.25,"B", 0.5, "C", 0.75,"D", 1)</f>
        <v>0.25</v>
      </c>
    </row>
    <row r="69" spans="1:4" ht="94.2" x14ac:dyDescent="0.35">
      <c r="A69" s="7" t="s">
        <v>82</v>
      </c>
      <c r="B69" s="6" t="s">
        <v>84</v>
      </c>
      <c r="C69" s="25" t="s">
        <v>8</v>
      </c>
      <c r="D69" s="23" cm="1">
        <f t="array" ref="D69">_xlfn.SWITCH(C69,"A", 0.25,"B", 0.5, "C", 0.75,"D", 1)</f>
        <v>0.5</v>
      </c>
    </row>
    <row r="70" spans="1:4" ht="94.2" x14ac:dyDescent="0.35">
      <c r="A70" s="7" t="s">
        <v>82</v>
      </c>
      <c r="B70" s="6" t="s">
        <v>85</v>
      </c>
      <c r="C70" s="25" t="s">
        <v>95</v>
      </c>
      <c r="D70" s="23" cm="1">
        <f t="array" ref="D70">_xlfn.SWITCH(C70,"A", 0.25,"B", 0.5, "C", 0.75,"D", 1)</f>
        <v>0.75</v>
      </c>
    </row>
    <row r="71" spans="1:4" ht="94.2" x14ac:dyDescent="0.35">
      <c r="A71" s="7" t="s">
        <v>82</v>
      </c>
      <c r="B71" s="6" t="s">
        <v>86</v>
      </c>
      <c r="C71" s="25" t="s">
        <v>97</v>
      </c>
      <c r="D71" s="23" cm="1">
        <f t="array" ref="D71">_xlfn.SWITCH(C71,"A", 0.25,"B", 0.5, "C", 0.75,"D", 1)</f>
        <v>1</v>
      </c>
    </row>
    <row r="72" spans="1:4" ht="94.2" x14ac:dyDescent="0.35">
      <c r="A72" s="7" t="s">
        <v>82</v>
      </c>
      <c r="B72" s="6" t="s">
        <v>87</v>
      </c>
      <c r="C72" s="25" t="s">
        <v>97</v>
      </c>
      <c r="D72" s="23" cm="1">
        <f t="array" ref="D72">_xlfn.SWITCH(C72,"A", 0.25,"B", 0.5, "C", 0.75,"D", 1)</f>
        <v>1</v>
      </c>
    </row>
    <row r="73" spans="1:4" ht="94.2" x14ac:dyDescent="0.35">
      <c r="A73" s="7" t="s">
        <v>88</v>
      </c>
      <c r="B73" s="6" t="s">
        <v>89</v>
      </c>
      <c r="C73" s="25" t="s">
        <v>95</v>
      </c>
      <c r="D73" s="23" cm="1">
        <f t="array" ref="D73">_xlfn.SWITCH(C73,"A", 0.25,"B", 0.5, "C", 0.75,"D", 1)</f>
        <v>0.75</v>
      </c>
    </row>
    <row r="74" spans="1:4" ht="94.2" x14ac:dyDescent="0.35">
      <c r="A74" s="7" t="s">
        <v>88</v>
      </c>
      <c r="B74" s="6" t="s">
        <v>90</v>
      </c>
      <c r="C74" s="25" t="s">
        <v>8</v>
      </c>
      <c r="D74" s="23" cm="1">
        <f t="array" ref="D74">_xlfn.SWITCH(C74,"A", 0.25,"B", 0.5, "C", 0.75,"D", 1)</f>
        <v>0.5</v>
      </c>
    </row>
    <row r="75" spans="1:4" ht="94.2" x14ac:dyDescent="0.35">
      <c r="A75" s="7" t="s">
        <v>88</v>
      </c>
      <c r="B75" s="6" t="s">
        <v>91</v>
      </c>
      <c r="C75" s="25" t="s">
        <v>96</v>
      </c>
      <c r="D75" s="23" cm="1">
        <f t="array" ref="D75">_xlfn.SWITCH(C75,"A", 0.25,"B", 0.5, "C", 0.75,"D", 1)</f>
        <v>0.25</v>
      </c>
    </row>
    <row r="76" spans="1:4" ht="94.2" x14ac:dyDescent="0.35">
      <c r="A76" s="7" t="s">
        <v>88</v>
      </c>
      <c r="B76" s="6" t="s">
        <v>92</v>
      </c>
      <c r="C76" s="25" t="s">
        <v>8</v>
      </c>
      <c r="D76" s="23" cm="1">
        <f t="array" ref="D76">_xlfn.SWITCH(C76,"A", 0.25,"B", 0.5, "C", 0.75,"D", 1)</f>
        <v>0.5</v>
      </c>
    </row>
    <row r="77" spans="1:4" ht="94.2" x14ac:dyDescent="0.35">
      <c r="A77" s="7" t="s">
        <v>88</v>
      </c>
      <c r="B77" s="6" t="s">
        <v>93</v>
      </c>
      <c r="C77" s="25" t="s">
        <v>8</v>
      </c>
      <c r="D77" s="23" cm="1">
        <f t="array" ref="D77">_xlfn.SWITCH(C77,"A", 0.25,"B", 0.5, "C", 0.75,"D", 1)</f>
        <v>0.5</v>
      </c>
    </row>
    <row r="78" spans="1:4" ht="94.2" x14ac:dyDescent="0.35">
      <c r="A78" s="7" t="s">
        <v>88</v>
      </c>
      <c r="B78" s="6" t="s">
        <v>94</v>
      </c>
      <c r="C78" s="25" t="s">
        <v>95</v>
      </c>
      <c r="D78" s="23" cm="1">
        <f t="array" ref="D78">_xlfn.SWITCH(C78,"A", 0.25,"B", 0.5, "C", 0.75,"D", 1)</f>
        <v>0.75</v>
      </c>
    </row>
    <row r="80" spans="1:4" ht="15.6" x14ac:dyDescent="0.3">
      <c r="A80" s="26" t="s">
        <v>122</v>
      </c>
    </row>
    <row r="81" spans="3:3" x14ac:dyDescent="0.3">
      <c r="C81" s="2"/>
    </row>
  </sheetData>
  <sheetProtection algorithmName="SHA-512" hashValue="8enW3K7gMvXNeomijE3AgI/QQwamCIG6vUkreT9yy++6FrwzfZd9C4p1Zm+FxsKKu/J43Q2Q4/4P4Czindh5AQ==" saltValue="YWDTw57PoUFsz3MPFVvVsQ==" spinCount="100000" sheet="1" objects="1" scenarios="1"/>
  <dataValidations xWindow="1284" yWindow="779" count="1">
    <dataValidation type="list" allowBlank="1" showInputMessage="1" showErrorMessage="1" promptTitle="Select Organization Response" prompt="Select 1 out of A,B,C,D" sqref="C2:C78" xr:uid="{38769ACA-BE52-4C22-A94E-0EFE0281E8FE}">
      <formula1>"A,B,C,D"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F667-9237-424C-9FAB-1605BDA91A9B}">
  <dimension ref="A1:D44"/>
  <sheetViews>
    <sheetView topLeftCell="A4" zoomScale="58" zoomScaleNormal="58" workbookViewId="0">
      <selection activeCell="B29" sqref="B29"/>
    </sheetView>
  </sheetViews>
  <sheetFormatPr defaultRowHeight="14.4" x14ac:dyDescent="0.3"/>
  <cols>
    <col min="1" max="1" width="71.6640625" customWidth="1"/>
    <col min="2" max="2" width="53" bestFit="1" customWidth="1"/>
    <col min="3" max="3" width="34.88671875" customWidth="1"/>
    <col min="4" max="4" width="23.88671875" customWidth="1"/>
    <col min="5" max="5" width="24.21875" customWidth="1"/>
  </cols>
  <sheetData>
    <row r="1" spans="1:4" ht="49.2" customHeight="1" thickBot="1" x14ac:dyDescent="0.35">
      <c r="A1" s="1" t="s">
        <v>0</v>
      </c>
      <c r="B1" s="11" t="s">
        <v>98</v>
      </c>
      <c r="C1" s="12" t="s">
        <v>99</v>
      </c>
      <c r="D1" s="12" t="s">
        <v>100</v>
      </c>
    </row>
    <row r="2" spans="1:4" ht="18" x14ac:dyDescent="0.35">
      <c r="A2" s="3" t="s">
        <v>4</v>
      </c>
      <c r="B2" s="22">
        <f>AVERAGEIF(User_Responses!$A$2:$A$78, A2, User_Responses!$D$2:$D$78)</f>
        <v>0.4</v>
      </c>
      <c r="C2" s="18">
        <v>2</v>
      </c>
      <c r="D2" s="24">
        <f>B2*C2</f>
        <v>0.8</v>
      </c>
    </row>
    <row r="3" spans="1:4" ht="18" x14ac:dyDescent="0.35">
      <c r="A3" s="5" t="s">
        <v>11</v>
      </c>
      <c r="B3" s="22">
        <f>AVERAGEIF(User_Responses!$A$2:$A$78, A3, User_Responses!$D$2:$D$78)</f>
        <v>0.4</v>
      </c>
      <c r="C3" s="18">
        <v>3</v>
      </c>
      <c r="D3" s="24">
        <f t="shared" ref="D3:D16" si="0">B3*C3</f>
        <v>1.2000000000000002</v>
      </c>
    </row>
    <row r="4" spans="1:4" ht="18" x14ac:dyDescent="0.35">
      <c r="A4" s="7" t="s">
        <v>17</v>
      </c>
      <c r="B4" s="22">
        <f>AVERAGEIF(User_Responses!$A$2:$A$78, A4, User_Responses!$D$2:$D$78)</f>
        <v>0.45</v>
      </c>
      <c r="C4" s="18">
        <v>1</v>
      </c>
      <c r="D4" s="24">
        <f t="shared" si="0"/>
        <v>0.45</v>
      </c>
    </row>
    <row r="5" spans="1:4" ht="18" x14ac:dyDescent="0.35">
      <c r="A5" s="3" t="s">
        <v>22</v>
      </c>
      <c r="B5" s="22">
        <f>AVERAGEIF(User_Responses!$A$2:$A$78, A5, User_Responses!$D$2:$D$78)</f>
        <v>0.5</v>
      </c>
      <c r="C5" s="18">
        <v>3</v>
      </c>
      <c r="D5" s="24">
        <f t="shared" si="0"/>
        <v>1.5</v>
      </c>
    </row>
    <row r="6" spans="1:4" ht="18" x14ac:dyDescent="0.35">
      <c r="A6" s="3" t="s">
        <v>28</v>
      </c>
      <c r="B6" s="22">
        <f>AVERAGEIF(User_Responses!$A$2:$A$78, A6, User_Responses!$D$2:$D$78)</f>
        <v>0.45</v>
      </c>
      <c r="C6" s="18">
        <v>2</v>
      </c>
      <c r="D6" s="24">
        <f t="shared" si="0"/>
        <v>0.9</v>
      </c>
    </row>
    <row r="7" spans="1:4" ht="18" x14ac:dyDescent="0.35">
      <c r="A7" s="7" t="s">
        <v>34</v>
      </c>
      <c r="B7" s="22">
        <f>AVERAGEIF(User_Responses!$A$2:$A$78, A7, User_Responses!$D$2:$D$78)</f>
        <v>0.70833333333333337</v>
      </c>
      <c r="C7" s="18">
        <v>1</v>
      </c>
      <c r="D7" s="24">
        <f t="shared" si="0"/>
        <v>0.70833333333333337</v>
      </c>
    </row>
    <row r="8" spans="1:4" ht="18" x14ac:dyDescent="0.35">
      <c r="A8" s="7" t="s">
        <v>40</v>
      </c>
      <c r="B8" s="22">
        <f>AVERAGEIF(User_Responses!$A$2:$A$78, A8, User_Responses!$D$2:$D$78)</f>
        <v>0.65</v>
      </c>
      <c r="C8" s="18">
        <v>2</v>
      </c>
      <c r="D8" s="24">
        <f t="shared" si="0"/>
        <v>1.3</v>
      </c>
    </row>
    <row r="9" spans="1:4" ht="18" x14ac:dyDescent="0.35">
      <c r="A9" s="7" t="s">
        <v>46</v>
      </c>
      <c r="B9" s="22">
        <f>AVERAGEIF(User_Responses!$A$2:$A$78, A9, User_Responses!$D$2:$D$78)</f>
        <v>0.6</v>
      </c>
      <c r="C9" s="18">
        <v>3</v>
      </c>
      <c r="D9" s="24">
        <f t="shared" si="0"/>
        <v>1.7999999999999998</v>
      </c>
    </row>
    <row r="10" spans="1:4" ht="18" x14ac:dyDescent="0.35">
      <c r="A10" s="3" t="s">
        <v>52</v>
      </c>
      <c r="B10" s="22">
        <f>AVERAGEIF(User_Responses!$A$2:$A$78, A10, User_Responses!$D$2:$D$78)</f>
        <v>0.6</v>
      </c>
      <c r="C10" s="18">
        <v>3</v>
      </c>
      <c r="D10" s="24">
        <f t="shared" si="0"/>
        <v>1.7999999999999998</v>
      </c>
    </row>
    <row r="11" spans="1:4" ht="18" x14ac:dyDescent="0.35">
      <c r="A11" s="3" t="s">
        <v>58</v>
      </c>
      <c r="B11" s="22">
        <f>AVERAGEIF(User_Responses!$A$2:$A$78, A11, User_Responses!$D$2:$D$78)</f>
        <v>0.8</v>
      </c>
      <c r="C11" s="18">
        <v>2</v>
      </c>
      <c r="D11" s="24">
        <f t="shared" si="0"/>
        <v>1.6</v>
      </c>
    </row>
    <row r="12" spans="1:4" ht="18" x14ac:dyDescent="0.35">
      <c r="A12" s="7" t="s">
        <v>64</v>
      </c>
      <c r="B12" s="22">
        <f>AVERAGEIF(User_Responses!$A$2:$A$78, A12, User_Responses!$D$2:$D$78)</f>
        <v>0.55000000000000004</v>
      </c>
      <c r="C12" s="18">
        <v>1</v>
      </c>
      <c r="D12" s="24">
        <f t="shared" si="0"/>
        <v>0.55000000000000004</v>
      </c>
    </row>
    <row r="13" spans="1:4" ht="18" x14ac:dyDescent="0.35">
      <c r="A13" s="7" t="s">
        <v>70</v>
      </c>
      <c r="B13" s="22">
        <f>AVERAGEIF(User_Responses!$A$2:$A$78, A13, User_Responses!$D$2:$D$78)</f>
        <v>0.6</v>
      </c>
      <c r="C13" s="18">
        <v>3</v>
      </c>
      <c r="D13" s="24">
        <f t="shared" si="0"/>
        <v>1.7999999999999998</v>
      </c>
    </row>
    <row r="14" spans="1:4" ht="18" x14ac:dyDescent="0.35">
      <c r="A14" s="7" t="s">
        <v>76</v>
      </c>
      <c r="B14" s="22">
        <f>AVERAGEIF(User_Responses!$A$2:$A$78, A14, User_Responses!$D$2:$D$78)</f>
        <v>0.8</v>
      </c>
      <c r="C14" s="18">
        <v>2</v>
      </c>
      <c r="D14" s="24">
        <f t="shared" si="0"/>
        <v>1.6</v>
      </c>
    </row>
    <row r="15" spans="1:4" ht="18" x14ac:dyDescent="0.35">
      <c r="A15" s="7" t="s">
        <v>82</v>
      </c>
      <c r="B15" s="22">
        <f>AVERAGEIF(User_Responses!$A$2:$A$78, A15, User_Responses!$D$2:$D$78)</f>
        <v>0.7</v>
      </c>
      <c r="C15" s="18">
        <v>2</v>
      </c>
      <c r="D15" s="24">
        <f t="shared" si="0"/>
        <v>1.4</v>
      </c>
    </row>
    <row r="16" spans="1:4" ht="18" x14ac:dyDescent="0.35">
      <c r="A16" s="7" t="s">
        <v>88</v>
      </c>
      <c r="B16" s="22">
        <f>AVERAGEIF(User_Responses!$A$2:$A$78, A16, User_Responses!$D$2:$D$78)</f>
        <v>0.54166666666666663</v>
      </c>
      <c r="C16" s="18">
        <v>3</v>
      </c>
      <c r="D16" s="24">
        <f t="shared" si="0"/>
        <v>1.625</v>
      </c>
    </row>
    <row r="19" spans="2:4" ht="18" x14ac:dyDescent="0.35">
      <c r="B19" s="14" t="s">
        <v>101</v>
      </c>
      <c r="C19" s="27">
        <f>SUM(D2:D16)/SUM(C2:C16)</f>
        <v>0.57676767676767671</v>
      </c>
    </row>
    <row r="21" spans="2:4" ht="18" x14ac:dyDescent="0.35">
      <c r="B21" s="14" t="s">
        <v>102</v>
      </c>
      <c r="C21" s="28" t="str">
        <f>IF(C19&lt;=40%, "🟢 Optimized Security Posture", IF(C19&lt;=60%, "🟡 Resilient Security Posture", IF(C19&lt;=80%, "🟠 Elevated Exposure Posture", "🔴 Critical Threat Posture")))</f>
        <v>🟡 Resilient Security Posture</v>
      </c>
    </row>
    <row r="25" spans="2:4" x14ac:dyDescent="0.3">
      <c r="B25" s="16" t="s">
        <v>103</v>
      </c>
      <c r="C25" t="s">
        <v>105</v>
      </c>
      <c r="D25" t="s">
        <v>106</v>
      </c>
    </row>
    <row r="26" spans="2:4" x14ac:dyDescent="0.3">
      <c r="B26" s="17" t="s">
        <v>22</v>
      </c>
      <c r="C26" s="15">
        <v>2.4000000000000004</v>
      </c>
      <c r="D26" s="13">
        <v>3</v>
      </c>
    </row>
    <row r="27" spans="2:4" x14ac:dyDescent="0.3">
      <c r="B27" s="17" t="s">
        <v>88</v>
      </c>
      <c r="C27" s="15">
        <v>1.875</v>
      </c>
      <c r="D27" s="13">
        <v>3</v>
      </c>
    </row>
    <row r="28" spans="2:4" x14ac:dyDescent="0.3">
      <c r="B28" s="17" t="s">
        <v>70</v>
      </c>
      <c r="C28" s="15">
        <v>1.7999999999999998</v>
      </c>
      <c r="D28" s="13">
        <v>3</v>
      </c>
    </row>
    <row r="29" spans="2:4" x14ac:dyDescent="0.3">
      <c r="B29" s="17" t="s">
        <v>52</v>
      </c>
      <c r="C29" s="15">
        <v>1.7999999999999998</v>
      </c>
      <c r="D29" s="13">
        <v>3</v>
      </c>
    </row>
    <row r="30" spans="2:4" x14ac:dyDescent="0.3">
      <c r="B30" s="17" t="s">
        <v>46</v>
      </c>
      <c r="C30" s="15">
        <v>1.7999999999999998</v>
      </c>
      <c r="D30" s="13">
        <v>3</v>
      </c>
    </row>
    <row r="31" spans="2:4" x14ac:dyDescent="0.3">
      <c r="B31" s="17" t="s">
        <v>11</v>
      </c>
      <c r="C31" s="15">
        <v>1.6500000000000001</v>
      </c>
      <c r="D31" s="13">
        <v>3</v>
      </c>
    </row>
    <row r="32" spans="2:4" x14ac:dyDescent="0.3">
      <c r="B32" s="17" t="s">
        <v>76</v>
      </c>
      <c r="C32" s="15">
        <v>1.6</v>
      </c>
      <c r="D32" s="13">
        <v>2</v>
      </c>
    </row>
    <row r="33" spans="1:4" x14ac:dyDescent="0.3">
      <c r="B33" s="17" t="s">
        <v>58</v>
      </c>
      <c r="C33" s="15">
        <v>1.6</v>
      </c>
      <c r="D33" s="13">
        <v>2</v>
      </c>
    </row>
    <row r="34" spans="1:4" x14ac:dyDescent="0.3">
      <c r="B34" s="17" t="s">
        <v>4</v>
      </c>
      <c r="C34" s="15">
        <v>1.4</v>
      </c>
      <c r="D34" s="13">
        <v>2</v>
      </c>
    </row>
    <row r="35" spans="1:4" x14ac:dyDescent="0.3">
      <c r="B35" s="17" t="s">
        <v>82</v>
      </c>
      <c r="C35" s="15">
        <v>1.4</v>
      </c>
      <c r="D35" s="13">
        <v>2</v>
      </c>
    </row>
    <row r="36" spans="1:4" x14ac:dyDescent="0.3">
      <c r="B36" s="17" t="s">
        <v>40</v>
      </c>
      <c r="C36" s="15">
        <v>1.3</v>
      </c>
      <c r="D36" s="13">
        <v>2</v>
      </c>
    </row>
    <row r="37" spans="1:4" x14ac:dyDescent="0.3">
      <c r="B37" s="17" t="s">
        <v>28</v>
      </c>
      <c r="C37" s="15">
        <v>0.9</v>
      </c>
      <c r="D37" s="13">
        <v>2</v>
      </c>
    </row>
    <row r="38" spans="1:4" x14ac:dyDescent="0.3">
      <c r="B38" s="17" t="s">
        <v>34</v>
      </c>
      <c r="C38" s="15">
        <v>0.70833333333333337</v>
      </c>
      <c r="D38" s="13">
        <v>1</v>
      </c>
    </row>
    <row r="39" spans="1:4" x14ac:dyDescent="0.3">
      <c r="B39" s="17" t="s">
        <v>17</v>
      </c>
      <c r="C39" s="15">
        <v>0.7</v>
      </c>
      <c r="D39" s="13">
        <v>1</v>
      </c>
    </row>
    <row r="40" spans="1:4" x14ac:dyDescent="0.3">
      <c r="B40" s="17" t="s">
        <v>64</v>
      </c>
      <c r="C40" s="15">
        <v>0.55000000000000004</v>
      </c>
      <c r="D40" s="13">
        <v>1</v>
      </c>
    </row>
    <row r="41" spans="1:4" x14ac:dyDescent="0.3">
      <c r="B41" s="17" t="s">
        <v>104</v>
      </c>
      <c r="C41" s="15">
        <v>21.483333333333331</v>
      </c>
      <c r="D41" s="13">
        <v>33</v>
      </c>
    </row>
    <row r="44" spans="1:4" ht="15.6" x14ac:dyDescent="0.3">
      <c r="A44" s="26" t="s">
        <v>122</v>
      </c>
    </row>
  </sheetData>
  <sheetProtection algorithmName="SHA-512" hashValue="Aq8WH8LpBubhez4eteIlWHpr9nZZrFoVeMcBkRVuwe1TYn+9JYOSQAV3pHI76AQ8wYtZ+RoslanTnkgSKjM79g==" saltValue="ub4YSwUAsuWEtUo2yQ/qQQ==" spinCount="100000" sheet="1" objects="1" scenarios="1"/>
  <dataValidations count="1">
    <dataValidation type="list" allowBlank="1" showInputMessage="1" showErrorMessage="1" promptTitle="Select Weight" prompt="Select 1 from (1,2,3,4)" sqref="C2:C16" xr:uid="{C7585D9D-7E7D-4094-AB10-9345EED1BEEF}">
      <formula1>"1,2,3"</formula1>
    </dataValidation>
  </dataValidation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AB3C-9D76-48CC-B399-D4A50D69AD7B}">
  <dimension ref="A1:D7"/>
  <sheetViews>
    <sheetView workbookViewId="0">
      <selection activeCell="A7" sqref="A7"/>
    </sheetView>
  </sheetViews>
  <sheetFormatPr defaultRowHeight="14.4" x14ac:dyDescent="0.3"/>
  <cols>
    <col min="1" max="1" width="91.21875" customWidth="1"/>
    <col min="2" max="2" width="39.109375" customWidth="1"/>
    <col min="3" max="3" width="31.5546875" customWidth="1"/>
  </cols>
  <sheetData>
    <row r="1" spans="1:4" ht="18.600000000000001" thickBot="1" x14ac:dyDescent="0.4">
      <c r="A1" s="21" t="s">
        <v>107</v>
      </c>
      <c r="B1" s="21" t="s">
        <v>108</v>
      </c>
      <c r="C1" s="21" t="s">
        <v>109</v>
      </c>
    </row>
    <row r="2" spans="1:4" ht="64.2" customHeight="1" x14ac:dyDescent="0.3">
      <c r="A2" s="20" t="s">
        <v>112</v>
      </c>
      <c r="B2" s="19" t="s">
        <v>110</v>
      </c>
      <c r="C2" s="19" t="s">
        <v>111</v>
      </c>
      <c r="D2" s="2"/>
    </row>
    <row r="3" spans="1:4" ht="80.400000000000006" customHeight="1" x14ac:dyDescent="0.3">
      <c r="A3" s="10" t="s">
        <v>115</v>
      </c>
      <c r="B3" s="19" t="s">
        <v>113</v>
      </c>
      <c r="C3" s="19" t="s">
        <v>114</v>
      </c>
      <c r="D3" s="2"/>
    </row>
    <row r="4" spans="1:4" ht="80.400000000000006" customHeight="1" x14ac:dyDescent="0.3">
      <c r="A4" s="9" t="s">
        <v>118</v>
      </c>
      <c r="B4" s="19" t="s">
        <v>116</v>
      </c>
      <c r="C4" s="19" t="s">
        <v>117</v>
      </c>
      <c r="D4" s="2"/>
    </row>
    <row r="5" spans="1:4" ht="102" customHeight="1" x14ac:dyDescent="0.3">
      <c r="A5" s="10" t="s">
        <v>121</v>
      </c>
      <c r="B5" s="19" t="s">
        <v>119</v>
      </c>
      <c r="C5" s="19" t="s">
        <v>120</v>
      </c>
      <c r="D5" s="2"/>
    </row>
    <row r="7" spans="1:4" ht="15.6" x14ac:dyDescent="0.3">
      <c r="A7" s="26" t="s">
        <v>122</v>
      </c>
    </row>
  </sheetData>
  <sheetProtection algorithmName="SHA-512" hashValue="Z7zIM3dG6z3EyyoqwEVUf2MIaOCnkEjNqmsCyC1DYyFl3ISYG+A6GCatUKUNFW+64rh+2zF6z8Ent4imDBtBCA==" saltValue="8p40nfOyHc+PtVmANFS/mA==" spinCount="100000" sheet="1" objects="1" scenarios="1"/>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User_Responses</vt:lpstr>
      <vt:lpstr>Results</vt:lpstr>
      <vt:lpstr>Results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2026-06-30T07:59:32Z</dcterms:created>
  <dcterms:modified xsi:type="dcterms:W3CDTF">2026-10-24T16:15:12Z</dcterms:modified>
</cp:coreProperties>
</file>