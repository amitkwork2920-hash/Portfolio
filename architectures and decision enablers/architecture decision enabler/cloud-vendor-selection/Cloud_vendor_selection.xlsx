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66925"/>
  <mc:AlternateContent xmlns:mc="http://schemas.openxmlformats.org/markup-compatibility/2006">
    <mc:Choice Requires="x15">
      <x15ac:absPath xmlns:x15ac="http://schemas.microsoft.com/office/spreadsheetml/2010/11/ac" url="C:\Amit\eBooks\Interview Quick Rampup\Fractional Architect Consulting &amp; Freelancing\UPWORK &amp; TOPMATE FILES AND PRODUCTS\CLOUD_VENDOR_SELECTION\"/>
    </mc:Choice>
  </mc:AlternateContent>
  <xr:revisionPtr revIDLastSave="0" documentId="13_ncr:1_{8AD9C318-9697-46D2-8D64-E7AA133FA935}" xr6:coauthVersionLast="47" xr6:coauthVersionMax="47" xr10:uidLastSave="{00000000-0000-0000-0000-000000000000}"/>
  <workbookProtection workbookAlgorithmName="SHA-512" workbookHashValue="dKKh4uMS4hAH1tCM60JuAo8eyVf+kCF8ToiPBotd0iUD7w7UOknvKm/UkrQu2m899UaQB9s1SE4olgdkkcckoA==" workbookSaltValue="psnyt9FPY/F+2bY/c/4s/w==" workbookSpinCount="100000" lockStructure="1"/>
  <bookViews>
    <workbookView xWindow="-108" yWindow="-108" windowWidth="23256" windowHeight="12456" activeTab="2" xr2:uid="{5C6ED58D-5E8E-4A06-9B59-7556807F224B}"/>
  </bookViews>
  <sheets>
    <sheet name="Platform_DB" sheetId="1" r:id="rId1"/>
    <sheet name="User_Responses" sheetId="2" r:id="rId2"/>
    <sheet name="Vendor_Rank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2" l="1"/>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2" i="2"/>
  <c r="B22" i="3" s="1"/>
  <c r="G43" i="2"/>
  <c r="G44" i="2"/>
  <c r="G45" i="2"/>
  <c r="G46" i="2"/>
  <c r="G48" i="2"/>
  <c r="G49" i="2"/>
  <c r="G50" i="2"/>
  <c r="G51" i="2"/>
  <c r="G52" i="2"/>
  <c r="G53" i="2"/>
  <c r="G54" i="2"/>
  <c r="G55" i="2"/>
  <c r="G57" i="2"/>
  <c r="G58" i="2"/>
  <c r="G59" i="2"/>
  <c r="G60" i="2"/>
  <c r="G61" i="2"/>
  <c r="G62" i="2"/>
  <c r="G63" i="2"/>
  <c r="G64" i="2"/>
  <c r="G65" i="2"/>
  <c r="G66" i="2"/>
  <c r="B17" i="3" s="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E3" i="2" a="1"/>
  <c r="E4" i="2" a="1"/>
  <c r="E5" i="2" a="1"/>
  <c r="E6" i="2" a="1"/>
  <c r="E7" i="2" a="1"/>
  <c r="E8" i="2" a="1"/>
  <c r="E9" i="2" a="1"/>
  <c r="E10" i="2" a="1"/>
  <c r="E11" i="2" a="1"/>
  <c r="E12" i="2" a="1"/>
  <c r="E13" i="2" a="1"/>
  <c r="E14" i="2" a="1"/>
  <c r="E15" i="2" a="1"/>
  <c r="E16" i="2" a="1"/>
  <c r="E17" i="2" a="1"/>
  <c r="E18" i="2" a="1"/>
  <c r="E19" i="2" a="1"/>
  <c r="E20" i="2" a="1"/>
  <c r="E21" i="2" a="1"/>
  <c r="E22" i="2" a="1"/>
  <c r="E23" i="2" a="1"/>
  <c r="E24" i="2" a="1"/>
  <c r="E25" i="2" a="1"/>
  <c r="E26" i="2" a="1"/>
  <c r="E27" i="2" a="1"/>
  <c r="E28" i="2" a="1"/>
  <c r="E29" i="2" a="1"/>
  <c r="E30" i="2" a="1"/>
  <c r="E31" i="2" a="1"/>
  <c r="E32" i="2" a="1"/>
  <c r="E33" i="2" a="1"/>
  <c r="E34" i="2" a="1"/>
  <c r="E35" i="2" a="1"/>
  <c r="E36" i="2" a="1"/>
  <c r="E37" i="2" a="1"/>
  <c r="E38" i="2" a="1"/>
  <c r="E39" i="2" a="1"/>
  <c r="E40" i="2" a="1"/>
  <c r="E41" i="2" a="1"/>
  <c r="E42" i="2" a="1"/>
  <c r="E43" i="2" a="1"/>
  <c r="E44" i="2" a="1"/>
  <c r="E45" i="2" a="1"/>
  <c r="E46" i="2" a="1"/>
  <c r="E47" i="2" a="1"/>
  <c r="E48" i="2" a="1"/>
  <c r="G47" i="2" s="1"/>
  <c r="E49" i="2" a="1"/>
  <c r="E50" i="2" a="1"/>
  <c r="E51" i="2" a="1"/>
  <c r="E52" i="2" a="1"/>
  <c r="E53" i="2" a="1"/>
  <c r="E54" i="2" a="1"/>
  <c r="E55" i="2" a="1"/>
  <c r="E56" i="2" a="1"/>
  <c r="E57" i="2" a="1"/>
  <c r="E58" i="2" a="1"/>
  <c r="E59" i="2" a="1"/>
  <c r="E60" i="2" a="1"/>
  <c r="E61" i="2" a="1"/>
  <c r="E62" i="2" a="1"/>
  <c r="E63" i="2" a="1"/>
  <c r="E64" i="2" a="1"/>
  <c r="E65" i="2" a="1"/>
  <c r="E66" i="2" a="1"/>
  <c r="E2" i="2" a="1"/>
  <c r="G56" i="2" s="1"/>
  <c r="B18" i="3" l="1"/>
  <c r="B20" i="3"/>
  <c r="B19" i="3"/>
  <c r="G41" i="2"/>
  <c r="G40" i="2"/>
  <c r="B16" i="3"/>
  <c r="B13" i="3"/>
  <c r="B15" i="3"/>
  <c r="B4" i="3"/>
  <c r="B10" i="3"/>
  <c r="B12" i="3"/>
  <c r="B8" i="3"/>
  <c r="B7" i="3"/>
  <c r="B5" i="3"/>
  <c r="B6" i="3"/>
  <c r="B9" i="3"/>
  <c r="B11" i="3"/>
  <c r="B14" i="3"/>
  <c r="C17" i="3"/>
  <c r="N6" i="3"/>
  <c r="N7" i="3"/>
  <c r="N8" i="3"/>
  <c r="N9" i="3"/>
  <c r="N10" i="3"/>
  <c r="N11" i="3"/>
  <c r="N12" i="3"/>
  <c r="N13" i="3"/>
  <c r="N14" i="3"/>
  <c r="L3" i="3"/>
  <c r="L4" i="3"/>
  <c r="L5" i="3"/>
  <c r="L6" i="3"/>
  <c r="L7" i="3"/>
  <c r="L8" i="3"/>
  <c r="L9" i="3"/>
  <c r="L10" i="3"/>
  <c r="L11" i="3"/>
  <c r="L12" i="3"/>
  <c r="L13" i="3"/>
  <c r="L14" i="3"/>
  <c r="J3" i="3"/>
  <c r="J4" i="3"/>
  <c r="J5" i="3"/>
  <c r="J6" i="3"/>
  <c r="J7" i="3"/>
  <c r="J8" i="3"/>
  <c r="J9" i="3"/>
  <c r="J10" i="3"/>
  <c r="J11" i="3"/>
  <c r="J12" i="3"/>
  <c r="J13" i="3"/>
  <c r="J14" i="3"/>
  <c r="H3" i="3"/>
  <c r="H4" i="3"/>
  <c r="H5" i="3"/>
  <c r="H6" i="3"/>
  <c r="H7" i="3"/>
  <c r="H8" i="3"/>
  <c r="H9" i="3"/>
  <c r="H10" i="3"/>
  <c r="H11" i="3"/>
  <c r="H12" i="3"/>
  <c r="H13" i="3"/>
  <c r="H14" i="3"/>
  <c r="F3" i="3"/>
  <c r="F4" i="3"/>
  <c r="F5" i="3"/>
  <c r="F6" i="3"/>
  <c r="F7" i="3"/>
  <c r="F8" i="3"/>
  <c r="F9" i="3"/>
  <c r="F10" i="3"/>
  <c r="F11" i="3"/>
  <c r="F12" i="3"/>
  <c r="F13" i="3"/>
  <c r="F14" i="3"/>
  <c r="D3" i="3"/>
  <c r="D4" i="3"/>
  <c r="D5" i="3"/>
  <c r="D6" i="3"/>
  <c r="D7" i="3"/>
  <c r="D8" i="3"/>
  <c r="D9" i="3"/>
  <c r="D10" i="3"/>
  <c r="D11" i="3"/>
  <c r="D12" i="3"/>
  <c r="D13" i="3"/>
  <c r="D14" i="3"/>
  <c r="N15" i="3"/>
  <c r="N16" i="3"/>
  <c r="N17" i="3"/>
  <c r="N18" i="3"/>
  <c r="N19" i="3"/>
  <c r="N20" i="3"/>
  <c r="N21" i="3"/>
  <c r="N22" i="3"/>
  <c r="O22" i="3" s="1"/>
  <c r="L15" i="3"/>
  <c r="L16" i="3"/>
  <c r="L17" i="3"/>
  <c r="L18" i="3"/>
  <c r="L19" i="3"/>
  <c r="L20" i="3"/>
  <c r="L22" i="3"/>
  <c r="M22" i="3" s="1"/>
  <c r="J15" i="3"/>
  <c r="J16" i="3"/>
  <c r="J17" i="3"/>
  <c r="J18" i="3"/>
  <c r="J19" i="3"/>
  <c r="J20" i="3"/>
  <c r="J21" i="3"/>
  <c r="J22" i="3"/>
  <c r="K22" i="3" s="1"/>
  <c r="H15" i="3"/>
  <c r="H16" i="3"/>
  <c r="H17" i="3"/>
  <c r="H18" i="3"/>
  <c r="H19" i="3"/>
  <c r="H20" i="3"/>
  <c r="H21" i="3"/>
  <c r="H22" i="3"/>
  <c r="I22" i="3" s="1"/>
  <c r="F15" i="3"/>
  <c r="F16" i="3"/>
  <c r="F17" i="3"/>
  <c r="F18" i="3"/>
  <c r="F19" i="3"/>
  <c r="F20" i="3"/>
  <c r="F21" i="3"/>
  <c r="F22" i="3"/>
  <c r="G22" i="3" s="1"/>
  <c r="D15" i="3"/>
  <c r="D16" i="3"/>
  <c r="D17" i="3"/>
  <c r="D18" i="3"/>
  <c r="D19" i="3"/>
  <c r="D20" i="3"/>
  <c r="D21" i="3"/>
  <c r="D22" i="3"/>
  <c r="E22" i="3" s="1"/>
  <c r="N3" i="3"/>
  <c r="N4" i="3"/>
  <c r="N5" i="3"/>
  <c r="L21" i="3"/>
  <c r="C15" i="3"/>
  <c r="C19" i="3"/>
  <c r="C20" i="3"/>
  <c r="C16" i="3"/>
  <c r="C21" i="3"/>
  <c r="C18" i="3"/>
  <c r="C22" i="3"/>
  <c r="N2" i="3"/>
  <c r="D2" i="3"/>
  <c r="L2" i="3"/>
  <c r="J2" i="3"/>
  <c r="H2" i="3"/>
  <c r="F2" i="3"/>
  <c r="C9" i="3"/>
  <c r="C7" i="3"/>
  <c r="C8" i="3"/>
  <c r="C2" i="3"/>
  <c r="C5" i="3"/>
  <c r="C6" i="3"/>
  <c r="C3" i="3"/>
  <c r="C10" i="3"/>
  <c r="C11" i="3"/>
  <c r="C12" i="3"/>
  <c r="C13" i="3"/>
  <c r="C4" i="3"/>
  <c r="C14" i="3"/>
  <c r="G4" i="2"/>
  <c r="G5" i="2"/>
  <c r="G2" i="2"/>
  <c r="G3" i="2"/>
  <c r="B21" i="3" l="1"/>
  <c r="K18" i="3"/>
  <c r="M18" i="3"/>
  <c r="I18" i="3"/>
  <c r="G18" i="3"/>
  <c r="E18" i="3"/>
  <c r="O18" i="3"/>
  <c r="O20" i="3"/>
  <c r="K19" i="3"/>
  <c r="K20" i="3"/>
  <c r="G20" i="3"/>
  <c r="E19" i="3"/>
  <c r="E20" i="3"/>
  <c r="O19" i="3"/>
  <c r="M19" i="3"/>
  <c r="M20" i="3"/>
  <c r="I19" i="3"/>
  <c r="I20" i="3"/>
  <c r="G19" i="3"/>
  <c r="K21" i="3"/>
  <c r="E21" i="3"/>
  <c r="M21" i="3"/>
  <c r="O16" i="3"/>
  <c r="M16" i="3"/>
  <c r="K16" i="3"/>
  <c r="I16" i="3"/>
  <c r="G16" i="3"/>
  <c r="E16" i="3"/>
  <c r="B3" i="3"/>
  <c r="E17" i="3"/>
  <c r="G17" i="3"/>
  <c r="I17" i="3"/>
  <c r="K17" i="3"/>
  <c r="M17" i="3"/>
  <c r="O17" i="3"/>
  <c r="E15" i="3"/>
  <c r="G15" i="3"/>
  <c r="I15" i="3"/>
  <c r="K15" i="3"/>
  <c r="M15" i="3"/>
  <c r="O15" i="3"/>
  <c r="B2" i="3"/>
  <c r="O4" i="3"/>
  <c r="G4" i="3"/>
  <c r="I4" i="3"/>
  <c r="K4" i="3"/>
  <c r="E4" i="3"/>
  <c r="M4" i="3"/>
  <c r="O5" i="3"/>
  <c r="I5" i="3"/>
  <c r="E5" i="3"/>
  <c r="M5" i="3"/>
  <c r="G5" i="3"/>
  <c r="K5" i="3"/>
  <c r="O6" i="3"/>
  <c r="E6" i="3"/>
  <c r="K6" i="3"/>
  <c r="I6" i="3"/>
  <c r="M6" i="3"/>
  <c r="G6" i="3"/>
  <c r="O7" i="3"/>
  <c r="E7" i="3"/>
  <c r="M7" i="3"/>
  <c r="G7" i="3"/>
  <c r="K7" i="3"/>
  <c r="I7" i="3"/>
  <c r="O8" i="3"/>
  <c r="E8" i="3"/>
  <c r="K8" i="3"/>
  <c r="M8" i="3"/>
  <c r="I8" i="3"/>
  <c r="G8" i="3"/>
  <c r="O9" i="3"/>
  <c r="E9" i="3"/>
  <c r="G9" i="3"/>
  <c r="I9" i="3"/>
  <c r="M9" i="3"/>
  <c r="K9" i="3"/>
  <c r="O10" i="3"/>
  <c r="G10" i="3"/>
  <c r="I10" i="3"/>
  <c r="M10" i="3"/>
  <c r="K10" i="3"/>
  <c r="E10" i="3"/>
  <c r="I11" i="3"/>
  <c r="G11" i="3"/>
  <c r="M11" i="3"/>
  <c r="K11" i="3"/>
  <c r="O11" i="3"/>
  <c r="E11" i="3"/>
  <c r="O12" i="3"/>
  <c r="M12" i="3"/>
  <c r="I12" i="3"/>
  <c r="K12" i="3"/>
  <c r="G12" i="3"/>
  <c r="E12" i="3"/>
  <c r="I13" i="3"/>
  <c r="O13" i="3"/>
  <c r="G13" i="3"/>
  <c r="K13" i="3"/>
  <c r="M13" i="3"/>
  <c r="E13" i="3"/>
  <c r="O14" i="3"/>
  <c r="E14" i="3"/>
  <c r="G14" i="3"/>
  <c r="M14" i="3"/>
  <c r="I14" i="3"/>
  <c r="K14" i="3"/>
  <c r="O21" i="3" l="1"/>
  <c r="I21" i="3"/>
  <c r="G21" i="3"/>
  <c r="M3" i="3"/>
  <c r="K3" i="3"/>
  <c r="I3" i="3"/>
  <c r="O3" i="3"/>
  <c r="E3" i="3"/>
  <c r="G3" i="3"/>
  <c r="K2" i="3"/>
  <c r="M2" i="3"/>
  <c r="I2" i="3"/>
  <c r="O2" i="3"/>
  <c r="I25" i="3" s="1"/>
  <c r="E2" i="3"/>
  <c r="D25" i="3" s="1"/>
  <c r="G2" i="3"/>
  <c r="E25" i="3" l="1"/>
  <c r="F25" i="3"/>
  <c r="G25" i="3"/>
  <c r="H2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<sst xmlns="http://schemas.openxmlformats.org/spreadsheetml/2006/main" count="277" uniqueCount="122">
  <si>
    <t>Market Share &amp; Industry Presence</t>
  </si>
  <si>
    <t>Pricing Models &amp; Transparency</t>
  </si>
  <si>
    <t>Global Data Center Footprint</t>
  </si>
  <si>
    <t>Compliance &amp; Security</t>
  </si>
  <si>
    <t>Hybrid Cloud Capabilities</t>
  </si>
  <si>
    <t>Enterprise Agreements &amp; Licensing Flexibilities</t>
  </si>
  <si>
    <t>DevOps Integration</t>
  </si>
  <si>
    <t>Global Network Infrastructure &amp; Performance</t>
  </si>
  <si>
    <t>Latency, Throughput &amp; Scalability</t>
  </si>
  <si>
    <t>Failover &amp; High Availability</t>
  </si>
  <si>
    <t>Vendor Lock-in &amp; Portability</t>
  </si>
  <si>
    <t>Management &amp; Monitoring Tools</t>
  </si>
  <si>
    <t>Cost Management &amp; Optimization</t>
  </si>
  <si>
    <t>Storage Performance &amp; IOPS</t>
  </si>
  <si>
    <t>Total Cost of Ownership (TCO) Analysis</t>
  </si>
  <si>
    <t>Data Transfer &amp; Egress Cost</t>
  </si>
  <si>
    <t>Network Security &amp; Firewalls</t>
  </si>
  <si>
    <t>AI/ML Platform Capabilities</t>
  </si>
  <si>
    <t>Data Analytics &amp; Big Data</t>
  </si>
  <si>
    <t>Customer Support &amp; SLA Levels</t>
  </si>
  <si>
    <t>Developer Ecosystem &amp; Community</t>
  </si>
  <si>
    <t>AWS</t>
  </si>
  <si>
    <t xml:space="preserve">Vendor Name </t>
  </si>
  <si>
    <t>#</t>
  </si>
  <si>
    <t>Category</t>
  </si>
  <si>
    <t>Client-Specific Question</t>
  </si>
  <si>
    <t xml:space="preserve"> Data Transfer &amp; Egress Cost </t>
  </si>
  <si>
    <t xml:space="preserve"> Compliance &amp; Security </t>
  </si>
  <si>
    <t xml:space="preserve"> Latency, Throughput &amp; Scalability </t>
  </si>
  <si>
    <t xml:space="preserve"> Hybrid Cloud Capabilities </t>
  </si>
  <si>
    <t xml:space="preserve"> Management &amp; Monitoring Tools </t>
  </si>
  <si>
    <t>a</t>
  </si>
  <si>
    <t>Sovereign Cloud &amp; Geopolitics</t>
  </si>
  <si>
    <t>Green Computing &amp; Sustainability</t>
  </si>
  <si>
    <t>Edge Computing &amp; IoT Frameworks</t>
  </si>
  <si>
    <r>
      <t xml:space="preserve">What is your organization’s stance on vendor market dominance?
</t>
    </r>
    <r>
      <rPr>
        <sz val="12"/>
        <color theme="1"/>
        <rFont val="Calibri"/>
        <family val="2"/>
        <scheme val="minor"/>
      </rPr>
      <t>a) We prefer niche, specialized players regardless of market share.
b) We accept emerging vendors with stable financial backing.
c) We prefer top-tier established vendors with a strong roadmap.
d) We strictly require a top 3 market-dominant leader.</t>
    </r>
  </si>
  <si>
    <r>
      <t xml:space="preserve">How critical is third-party vendor tool ecosystem support?
</t>
    </r>
    <r>
      <rPr>
        <sz val="12"/>
        <color theme="1"/>
        <rFont val="Calibri"/>
        <family val="2"/>
        <scheme val="minor"/>
      </rPr>
      <t>a) Not critical; we build most integrations in-house.
b) Minimal; we only need a few basic tool integrations.
c) Important; we rely on mainstream third-party software tools.
d) Mission-critical; we require universal ecosystem compatibility.</t>
    </r>
  </si>
  <si>
    <r>
      <t xml:space="preserve">What is your preferred cloud billing model?
</t>
    </r>
    <r>
      <rPr>
        <sz val="12"/>
        <color theme="1"/>
        <rFont val="Calibri"/>
        <family val="2"/>
        <scheme val="minor"/>
      </rPr>
      <t xml:space="preserve">
a) Fixed monthly billing with minimal tracking tools.
b) Pay-as-you-go with basic cost visibility.
c) Tiered pricing with granular billing API access.
d) Predictive, fully transparent pricing with real-time anomalies.</t>
    </r>
  </si>
  <si>
    <r>
      <t xml:space="preserve">How complex is your required discounting structure?
</t>
    </r>
    <r>
      <rPr>
        <sz val="12"/>
        <color theme="1"/>
        <rFont val="Calibri"/>
        <family val="2"/>
        <scheme val="minor"/>
      </rPr>
      <t>a) No long-term commitments; pure on-demand usage.
b) Basic 1-year commitments for predictable workloads.
c) Multi-year commitments with flexible compute exchange rights.
d) Complex, multi-product customized enterprise billing discounts.</t>
    </r>
  </si>
  <si>
    <r>
      <t xml:space="preserve">What are your geographical data residency requirements?
</t>
    </r>
    <r>
      <rPr>
        <sz val="12"/>
        <color theme="1"/>
        <rFont val="Calibri"/>
        <family val="2"/>
        <scheme val="minor"/>
      </rPr>
      <t>a) Single local region; no global presence needed.
b) Regional presence across a single continent.
c) Multi-continental presence across primary business hubs.
d) Hyper-distributed presence including emerging global markets.</t>
    </r>
  </si>
  <si>
    <r>
      <t xml:space="preserve">How critical is proximity to specific localized edge locations?
</t>
    </r>
    <r>
      <rPr>
        <sz val="12"/>
        <color theme="1"/>
        <rFont val="Calibri"/>
        <family val="2"/>
        <scheme val="minor"/>
      </rPr>
      <t xml:space="preserve">
a) Not required; standard cloud regions are sufficient.
b) Nice to have for localized testing and low traffic.
c) Required for content delivery networks in main cities.
d) Critical for real-time edge processing near field operations.</t>
    </r>
  </si>
  <si>
    <r>
      <t xml:space="preserve">What industry-specific compliance certifications do you require?
</t>
    </r>
    <r>
      <rPr>
        <sz val="12"/>
        <color theme="1"/>
        <rFont val="Calibri"/>
        <family val="2"/>
        <scheme val="minor"/>
      </rPr>
      <t>a) Standard commercial security protocols only.
b) Basic regional certifications (e.g., local data privacy).
c) Standard industry frameworks (e.g., SOC2, ISO 27001).
d) High-stringency certifications (e.g., HIPAA, FedRAMP, PCI-DSS).</t>
    </r>
  </si>
  <si>
    <r>
      <t xml:space="preserve">What level of sovereign data isolation does your client require?
</t>
    </r>
    <r>
      <rPr>
        <sz val="12"/>
        <color theme="1"/>
        <rFont val="Calibri"/>
        <family val="2"/>
        <scheme val="minor"/>
      </rPr>
      <t>a) No restrictions on public cloud shared infrastructure.
b) Logical separation of data within shared infrastructure.
c) Dedicated hardware instances in public zones.
d) Complete digital and physical sovereignty in isolated regions.</t>
    </r>
  </si>
  <si>
    <r>
      <t>What is the planned architecture for your legacy on-premises assets?
a</t>
    </r>
    <r>
      <rPr>
        <sz val="12"/>
        <color theme="1"/>
        <rFont val="Calibri"/>
        <family val="2"/>
        <scheme val="minor"/>
      </rPr>
      <t>) Complete migration to cloud; no hybrid footprint remains.
b) Lift-and-shift to cloud with temporary legacy connections.
c) Long-term hybrid setup with separate management planes.
d) Seamless, unified hybrid control plane across on-prem and cloud.</t>
    </r>
  </si>
  <si>
    <r>
      <t xml:space="preserve">How do you plan to extend cloud services to your local hardware?
</t>
    </r>
    <r>
      <rPr>
        <sz val="12"/>
        <color theme="1"/>
        <rFont val="Calibri"/>
        <family val="2"/>
        <scheme val="minor"/>
      </rPr>
      <t xml:space="preserve">
a) We do not need cloud services on physical on-prem hardware.
b) Basic software agents monitoring on-premises servers.
c) Virtual appliances deployed on local virtualization platforms.
d) Native vendor hardware extensions (e.g., Outposts, Azure Stack).</t>
    </r>
  </si>
  <si>
    <r>
      <t xml:space="preserve">How do you plan to manage existing software licenses (e.g., Windows, Oracle)?
</t>
    </r>
    <r>
      <rPr>
        <sz val="12"/>
        <color theme="1"/>
        <rFont val="Calibri"/>
        <family val="2"/>
        <scheme val="minor"/>
      </rPr>
      <t>a) Abandon existing licenses and buy everything cloud-native.
b) Manual migration of eligible licenses with complex tracking.
c) Semi-automated bring-your-own-license (BYOL) frameworks.
d) Fully automated, financially optimized BYOL programs.</t>
    </r>
  </si>
  <si>
    <r>
      <t xml:space="preserve">What level of contract flexibility do you require for minimum spend commits?
</t>
    </r>
    <r>
      <rPr>
        <sz val="12"/>
        <color theme="1"/>
        <rFont val="Calibri"/>
        <family val="2"/>
        <scheme val="minor"/>
      </rPr>
      <t>a) No minimum commit; we pay higher variable rates willingly.
b) Fixed annual spend with rigid product allocations.
c) Flexible spend commitments with annual re-baselining.
d) Fully fluid cross-product spend shifting with no penalties.</t>
    </r>
  </si>
  <si>
    <r>
      <t xml:space="preserve">What is your primary methodology for infrastructure deployment?
</t>
    </r>
    <r>
      <rPr>
        <sz val="12"/>
        <color theme="1"/>
        <rFont val="Calibri"/>
        <family val="2"/>
        <scheme val="minor"/>
      </rPr>
      <t xml:space="preserve">
a) Manual console configurations and basic scripts.
b) Mix of custom scripts and basic automation tools.
c) Standardized Infrastructure as Code (IaC) via tools like Terraform.
d) Fully automated GitOps pipelines with continuous deployment.</t>
    </r>
  </si>
  <si>
    <r>
      <t xml:space="preserve">How deeply should the cloud platform integrate with container workflows?
</t>
    </r>
    <r>
      <rPr>
        <sz val="12"/>
        <color theme="1"/>
        <rFont val="Calibri"/>
        <family val="2"/>
        <scheme val="minor"/>
      </rPr>
      <t>a) No container usage; pure virtual machines or monoliths.
b) Basic container hosting without advanced orchestration.
c) Managed Kubernetes services for production applications.
d) Serverless container platforms with automated scaling mesh.</t>
    </r>
  </si>
  <si>
    <r>
      <t xml:space="preserve">What type of network backbone do you expect from the vendor?
</t>
    </r>
    <r>
      <rPr>
        <sz val="12"/>
        <color theme="1"/>
        <rFont val="Calibri"/>
        <family val="2"/>
        <scheme val="minor"/>
      </rPr>
      <t>a) Public internet routing is sufficient for our traffic.
b) Public internet supplemented with basic VPN connections.
c) Dedicated private network peering at specific exchange points.
d) Premium, private software-defined global fiber network.</t>
    </r>
  </si>
  <si>
    <r>
      <t xml:space="preserve">What are your requirements for global load balancing?
</t>
    </r>
    <r>
      <rPr>
        <sz val="12"/>
        <color theme="1"/>
        <rFont val="Calibri"/>
        <family val="2"/>
        <scheme val="minor"/>
      </rPr>
      <t>a) Regional load balancing handles all our current needs.
b) DNS-based global routing with simple failover rules.
c) Layer 4 global load balancing across multiple regions.
d) Anycast-based Intelligent Layer 7 global traffic management.</t>
    </r>
  </si>
  <si>
    <r>
      <t xml:space="preserve">What are your user-facing application latency thresholds?
</t>
    </r>
    <r>
      <rPr>
        <sz val="12"/>
        <color theme="1"/>
        <rFont val="Calibri"/>
        <family val="2"/>
        <scheme val="minor"/>
      </rPr>
      <t>a) High tolerance (&gt;500ms); asynchronous batch processing.
b) Moderate tolerance (&lt;200ms); standard web applications.
c) Low latency (&lt;50ms); interactive business applications.
d) Ultra-low latency (&lt;10ms); real-time financial or IoT systems.</t>
    </r>
  </si>
  <si>
    <r>
      <t xml:space="preserve">How fast must your core infrastructure scale during traffic spikes?
</t>
    </r>
    <r>
      <rPr>
        <sz val="12"/>
        <color theme="1"/>
        <rFont val="Calibri"/>
        <family val="2"/>
        <scheme val="minor"/>
      </rPr>
      <t xml:space="preserve">
a) Manual scaling over hours or days is acceptable.
b) Scheduled scaling based on known predictable business hours.
c) Automated rule-based scaling triggered by CPU/Memory spikes.
d) Instantaneous, predictive auto-scaling within seconds.</t>
    </r>
  </si>
  <si>
    <r>
      <t xml:space="preserve">What is your target Recovery Time Objective (RTO)?
</t>
    </r>
    <r>
      <rPr>
        <sz val="12"/>
        <color theme="1"/>
        <rFont val="Calibri"/>
        <family val="2"/>
        <scheme val="minor"/>
      </rPr>
      <t>a) Within 24-48 hours; backup restoration from cold storage.
b) Within 4-12 hours; warm standby infrastructure active.
c) Under 1 hour; automated failover to a secondary region.
d) Zero downtime (active-active multi-region synchronous replication).</t>
    </r>
  </si>
  <si>
    <r>
      <t xml:space="preserve">What is your target Recovery Point Objective (RPO)?
</t>
    </r>
    <r>
      <rPr>
        <sz val="12"/>
        <color theme="1"/>
        <rFont val="Calibri"/>
        <family val="2"/>
        <scheme val="minor"/>
      </rPr>
      <t>a) 24 hours of data loss is acceptable for the business.
b) 1-4 hours of data loss can be tolerated during disasters.
c) Less than 15 minutes of data loss via frequent snapshots.
d) Zero data loss required (real-time synchronous block mirroring).</t>
    </r>
  </si>
  <si>
    <r>
      <t xml:space="preserve">How important is multi-cloud portability for your software stack?
</t>
    </r>
    <r>
      <rPr>
        <sz val="12"/>
        <color theme="1"/>
        <rFont val="Calibri"/>
        <family val="2"/>
        <scheme val="minor"/>
      </rPr>
      <t>a) Low importance; happy to build using vendor-proprietary APIs.
b) Moderate; we use virtual machines but utilize vendor databases.
c) High; code is containerized but depends on vendor messaging.
d) Absolute priority; fully cloud-agnostic open-source stack.</t>
    </r>
  </si>
  <si>
    <r>
      <t xml:space="preserve">What is your strategy for database migration out of the cloud?
</t>
    </r>
    <r>
      <rPr>
        <sz val="12"/>
        <color theme="1"/>
        <rFont val="Calibri"/>
        <family val="2"/>
        <scheme val="minor"/>
      </rPr>
      <t>a) We accept permanent storage in vendor-exclusive engines.
b) Manual schema redesign and extraction tools will be used.
c) Database runs on standard formats allowing easier migration.
d) Zero-effort live database replication to any external platform.</t>
    </r>
  </si>
  <si>
    <r>
      <t xml:space="preserve">How centralized should your multi-account management be?
</t>
    </r>
    <r>
      <rPr>
        <sz val="12"/>
        <color theme="1"/>
        <rFont val="Calibri"/>
        <family val="2"/>
        <scheme val="minor"/>
      </rPr>
      <t xml:space="preserve">
a) Individual account management with siloed credentials.
b) Basic consolidated billing with separate engineering access.
c) Centralized identity management with basic organizational units.
d) Automated multi-account factory with strict landing zones.</t>
    </r>
  </si>
  <si>
    <r>
      <t xml:space="preserve">What level of out-of-the-box observability is required?
</t>
    </r>
    <r>
      <rPr>
        <sz val="12"/>
        <color theme="1"/>
        <rFont val="Calibri"/>
        <family val="2"/>
        <scheme val="minor"/>
      </rPr>
      <t xml:space="preserve">
a) Basic metric graphs (CPU/Memory) on a delay.
b) Real-time metric dashboards with basic email alerting.
c) Integrated logs, metrics, and traces across all resources.
d) AI-driven root cause analysis with automated self-healing.</t>
    </r>
  </si>
  <si>
    <r>
      <t xml:space="preserve">How do you plan to handle cloud cost allocation?
</t>
    </r>
    <r>
      <rPr>
        <sz val="12"/>
        <color theme="1"/>
        <rFont val="Calibri"/>
        <family val="2"/>
        <scheme val="minor"/>
      </rPr>
      <t>a) Single corporate bill; no internal tracking or chargebacks.
b) Tagging applied manually by teams with irregular audits.
c) Mandatory automated tagging policies with cost center mapping.
d) Dynamic, granular showback/chargeback automated to business units.</t>
    </r>
  </si>
  <si>
    <r>
      <t xml:space="preserve">What level of automated cost optimization do you expect?
</t>
    </r>
    <r>
      <rPr>
        <sz val="12"/>
        <color theme="1"/>
        <rFont val="Calibri"/>
        <family val="2"/>
        <scheme val="minor"/>
      </rPr>
      <t>a) None; manual cleanup done ad-hoc by engineers.
b) Standard system alerts when spend exceeds preset thresholds.
c) Automated recommendations for rightsizing and idle resources.
d) AI-driven auto-rightsizing and automated purchase of discount plans.</t>
    </r>
  </si>
  <si>
    <r>
      <t xml:space="preserve">What are the Input/Output Operations Per Second (IOPS) requirements?
</t>
    </r>
    <r>
      <rPr>
        <sz val="12"/>
        <color theme="1"/>
        <rFont val="Calibri"/>
        <family val="2"/>
        <scheme val="minor"/>
      </rPr>
      <t>a) Low performance (&lt;1,000 IOPS); general file storage.
b) Standard disk performance (1,000 - 5,000 IOPS); web servers.
c) High performance (5,000 - 30,000 IOPS); production databases.
d) Extreme performance (&gt;100,000 IOPS); sub-millisecond NVMe pools.</t>
    </r>
  </si>
  <si>
    <r>
      <t xml:space="preserve">How complex are your data lifecycle management rules?
</t>
    </r>
    <r>
      <rPr>
        <sz val="12"/>
        <color theme="1"/>
        <rFont val="Calibri"/>
        <family val="2"/>
        <scheme val="minor"/>
      </rPr>
      <t>a) Retain all data indefinitely on primary standard storage.
b) Manual deletion or archiving of older data pools.
c) Automated time-based transitions to cheaper cold storage tiers.
d) Intelligent, access-pattern-based automated storage tiering.</t>
    </r>
  </si>
  <si>
    <r>
      <t xml:space="preserve"> What is the primary focus of your financial cloud business case? 
</t>
    </r>
    <r>
      <rPr>
        <sz val="12"/>
        <color theme="1"/>
        <rFont val="Calibri"/>
        <family val="2"/>
        <scheme val="minor"/>
      </rPr>
      <t xml:space="preserve">
a)  Quick capital expenditure reduction this fiscal year. 
b)  Shift from CapEx to OpEx with neutral ongoing costs. 
c)  Long-term operational efficiency gains across engineering teams. 
d)  Total business agility, faster time-to-market, and optimized TCO. </t>
    </r>
  </si>
  <si>
    <r>
      <t xml:space="preserve"> How do data center exit timelines impact your financial plan? 
</t>
    </r>
    <r>
      <rPr>
        <sz val="12"/>
        <color theme="1"/>
        <rFont val="Calibri"/>
        <family val="2"/>
        <scheme val="minor"/>
      </rPr>
      <t>a)  No hard timeline; running dual environments indefinitely. 
b)  Gradual exit over multiple years with high overlap costs. 
c)  Aggressive 12-month exit with mild migration bubble funding. 
d)  Immediate drop-dead data center closure aligned with cloud onboarding.</t>
    </r>
  </si>
  <si>
    <r>
      <t xml:space="preserve"> What is the nature of your outbound network data transfer? 
</t>
    </r>
    <r>
      <rPr>
        <sz val="12"/>
        <color theme="1"/>
        <rFont val="Calibri"/>
        <family val="2"/>
        <scheme val="minor"/>
      </rPr>
      <t xml:space="preserve">a)  Negligible outbound data transfer; inward data collection only. 
b)  Moderate data egress to localized internal corporate offices. 
c)  Heavy data distribution to global public internet consumers. 
d)  Massive, constant data synchronization with on-premises grids. </t>
    </r>
  </si>
  <si>
    <r>
      <t xml:space="preserve"> Do you require specialized data transfer acceleration? 
</t>
    </r>
    <r>
      <rPr>
        <sz val="12"/>
        <color theme="1"/>
        <rFont val="Calibri"/>
        <family val="2"/>
        <scheme val="minor"/>
      </rPr>
      <t xml:space="preserve">a)  Standard public internet uploads are completely fine. 
b)  Basic multi-part upload scripts optimized by engineers. 
c)  Cloud provider software acceleration tools for bulk loads. 
d)  Physical appliance shipping for massive petabyte data moves. </t>
    </r>
  </si>
  <si>
    <r>
      <t xml:space="preserve"> What level of edge network security protection do you require? 
</t>
    </r>
    <r>
      <rPr>
        <sz val="12"/>
        <color theme="1"/>
        <rFont val="Calibri"/>
        <family val="2"/>
        <scheme val="minor"/>
      </rPr>
      <t xml:space="preserve">
a)  Basic network security groups around specific virtual instances. 
b)  Standard cloud firewalls with manually configured rules. 
c)  Managed Web Application Firewall (WAF) protecting public endpoints. 
d)  Enterprise Distributed Denial of Service (DDoS) mitigation shield. </t>
    </r>
  </si>
  <si>
    <r>
      <t xml:space="preserve"> How should network traffic inspections be handled? 
</t>
    </r>
    <r>
      <rPr>
        <sz val="12"/>
        <color theme="1"/>
        <rFont val="Calibri"/>
        <family val="2"/>
        <scheme val="minor"/>
      </rPr>
      <t>a)  No deep packet inspection required for our application profiles. 
b)  Virtual appliances routed manually for sporadic traffic checks. 
c)  Centralized cloud-native firewall inspecting all regional traffic. 
d)  Zero-trust micro-segmentation with automated threat isolation.</t>
    </r>
  </si>
  <si>
    <r>
      <t xml:space="preserve"> What is the current maturity of your artificial intelligence strategy? 
</t>
    </r>
    <r>
      <rPr>
        <sz val="12"/>
        <color theme="1"/>
        <rFont val="Calibri"/>
        <family val="2"/>
        <scheme val="minor"/>
      </rPr>
      <t>a)  No immediate AI/ML needs; pure transactional applications. 
b)  Consumption of basic pre-built APIs (e.g., text-to-speech). 
c)  Training custom models using managed Jupyter notebook services. 
d)  Enterprise-grade LLM fine-tuning, vector search, and MLOps.</t>
    </r>
  </si>
  <si>
    <r>
      <t xml:space="preserve"> How important are specialized AI hardware accelerators (GPUs/TPUs)? 
</t>
    </r>
    <r>
      <rPr>
        <sz val="12"/>
        <color theme="1"/>
        <rFont val="Calibri"/>
        <family val="2"/>
        <scheme val="minor"/>
      </rPr>
      <t xml:space="preserve">
a)  No requirement for specialized graphic/tensor computing hardware. 
b)  Low requirement; occasional batch processing on low-tier GPUs. 
c)  High requirement; continuous access to mainstream Nvidia chips. 
d)  Critical; immediate access to latest-generation custom AI silicon.</t>
    </r>
  </si>
  <si>
    <r>
      <t xml:space="preserve"> What are your data warehousing design patterns? 
</t>
    </r>
    <r>
      <rPr>
        <sz val="12"/>
        <color theme="1"/>
        <rFont val="Calibri"/>
        <family val="2"/>
        <scheme val="minor"/>
      </rPr>
      <t>a)  Basic relational databases handling standard reporting queries. 
b)  Independent data marts with manual data extraction pipelines. 
c)  Centralized data lakehouse mixing structured and unstructured data. 
d)  Streaming, real-time analytics engine with zero-copy data sharing.</t>
    </r>
  </si>
  <si>
    <r>
      <t xml:space="preserve"> How is your data pipeline orchestration managed? 
</t>
    </r>
    <r>
      <rPr>
        <sz val="12"/>
        <color theme="1"/>
        <rFont val="Calibri"/>
        <family val="2"/>
        <scheme val="minor"/>
      </rPr>
      <t>a)  Hand-crafted cron jobs running on standalone servers. 
b)  Basic open-source tools with manual cluster scaling. 
c)  Managed ETL services handling batch data ingestion jobs. 
d)  Serverless, auto-scaling event-driven streaming pipelines.</t>
    </r>
  </si>
  <si>
    <r>
      <t xml:space="preserve"> What is your required production platform availability SLA? 
</t>
    </r>
    <r>
      <rPr>
        <sz val="12"/>
        <color theme="1"/>
        <rFont val="Calibri"/>
        <family val="2"/>
        <scheme val="minor"/>
      </rPr>
      <t>a)  &lt;99.0% availability; non-critical internal service profiles. 
b)  99.1% - 99.9% availability; standard business operating hours. 
c)  99.95% availability; continuous core business operations. 
d)  &gt;99.99% availability; financially backed mission-critical SLA.</t>
    </r>
  </si>
  <si>
    <r>
      <t xml:space="preserve"> What level of engineering technical support response time is required? 
</t>
    </r>
    <r>
      <rPr>
        <sz val="12"/>
        <color theme="1"/>
        <rFont val="Calibri"/>
        <family val="2"/>
        <scheme val="minor"/>
      </rPr>
      <t>a)  Next business day support via ticketing system portals. 
b)  Under 4 hours response time for high-severity incidents. 
c)  Under 1 hour response time with 24/7 phone access to engineers. 
d)  Under 15 minutes response time with a dedicated technical account manager.</t>
    </r>
  </si>
  <si>
    <r>
      <t xml:space="preserve"> How familiar is your engineering team with the target cloud? 
</t>
    </r>
    <r>
      <rPr>
        <sz val="12"/>
        <color theme="1"/>
        <rFont val="Calibri"/>
        <family val="2"/>
        <scheme val="minor"/>
      </rPr>
      <t>a)  No experience; complete training and upskilling required. 
b)  Limited experience; a few engineers have basic certificates. 
c)  High experience; core team regularly builds on this platform. 
d)  Expert level; mature engineering practice with advanced certifications.</t>
    </r>
  </si>
  <si>
    <r>
      <t xml:space="preserve"> What is your preference for infrastructure marketplace solutions? 
</t>
    </r>
    <r>
      <rPr>
        <sz val="12"/>
        <color theme="1"/>
        <rFont val="Calibri"/>
        <family val="2"/>
        <scheme val="minor"/>
      </rPr>
      <t xml:space="preserve">a)  No third-party software needed from a vendor marketplace. 
b)  Minimal use; only deploying basic verified operating system images. 
c)  Regular use of commercial software licenses via cloud storefronts. 
d)  Heavy consumption; automated SaaS provisioning and consolidated billing. </t>
    </r>
  </si>
  <si>
    <r>
      <t xml:space="preserve"> How must cryptographic encryption keys be handled? 
</t>
    </r>
    <r>
      <rPr>
        <sz val="12"/>
        <color theme="1"/>
        <rFont val="Calibri"/>
        <family val="2"/>
        <scheme val="minor"/>
      </rPr>
      <t>a)  Vendor-managed keys with automated rotation policies. 
b)  Customer-managed keys stored in shared cloud hardware modules. 
c)  Single-tenant dedicated cloud Hardware Security Modules (HSM). 
d)  External key management (Hold Your Own Key) outside vendor cloud.</t>
    </r>
  </si>
  <si>
    <r>
      <t xml:space="preserve"> What are your network throughput requirements per instance? 
</t>
    </r>
    <r>
      <rPr>
        <sz val="12"/>
        <color theme="1"/>
        <rFont val="Calibri"/>
        <family val="2"/>
        <scheme val="minor"/>
      </rPr>
      <t xml:space="preserve">a)  Low throughput (&lt;1 Gbps); standard text traffic profiles. 
b)  Moderate throughput (1 - 10 Gbps); standard media microservices. 
c)  High throughput (10 - 40 Gbps); heavy microservice communication grids. 
d)  Ultra-high throughput (&gt;100 Gbps); high-performance computing clusters. </t>
    </r>
  </si>
  <si>
    <r>
      <t xml:space="preserve"> How do you plan to handle active directory and identity federation? 
</t>
    </r>
    <r>
      <rPr>
        <sz val="12"/>
        <color theme="1"/>
        <rFont val="Calibri"/>
        <family val="2"/>
        <scheme val="minor"/>
      </rPr>
      <t xml:space="preserve">a)  Cloud-only native directory unrelated to corporate enterprise systems. 
b)  Manual synchronization of identities at fixed interval cycles. 
c)  Federated single sign-on using standard modern protocol bridges. 
d)  Deep, real-time hybrid identity mesh with instant revocation sync. </t>
    </r>
  </si>
  <si>
    <r>
      <t xml:space="preserve"> What is the required retention policy for operational audit logs? 
</t>
    </r>
    <r>
      <rPr>
        <sz val="12"/>
        <color theme="1"/>
        <rFont val="Calibri"/>
        <family val="2"/>
        <scheme val="minor"/>
      </rPr>
      <t xml:space="preserve">a)  Basic retention (7-30 days); used only for debugging live faults. 
b)  Quarterly retention (90 days); satisfies basic operational checks. 
c)  Annual retention (365 days); stored in standard cost tiers. 
d)  Long-term immutable storage (7+ years) matching strict compliance laws. </t>
    </r>
  </si>
  <si>
    <r>
      <t xml:space="preserve"> How should infrastructure configuration drift be managed? 
</t>
    </r>
    <r>
      <rPr>
        <sz val="12"/>
        <color theme="1"/>
        <rFont val="Calibri"/>
        <family val="2"/>
        <scheme val="minor"/>
      </rPr>
      <t>a)  Checked manually during application deployment failures. 
b)  Weekly automated configuration scanning reports delivered to emails. 
c)  Real-time dashboards alerting engineers of unauthorized shifts. 
d)  Automated, programmatic self-healing that reverts unauthorized drift</t>
    </r>
  </si>
  <si>
    <r>
      <t xml:space="preserve">What is your requirement for immunity from foreign extraterritorial data access laws (e.g., US CLOUD Act)?
</t>
    </r>
    <r>
      <rPr>
        <sz val="12"/>
        <color theme="1"/>
        <rFont val="Calibri"/>
        <family val="2"/>
        <scheme val="minor"/>
      </rPr>
      <t>a) No requirements; standard global public cloud terms are acceptable.
b) Contractual guarantees that data stays within national borders.
c) Shared operational control with a local, trusted domestic partner.
d) Complete jurisdictional immunity via a 100% locally owned sovereign cloud entity.</t>
    </r>
  </si>
  <si>
    <r>
      <t xml:space="preserve">How do geopolitical tensions or trade restrictions affect your vendor supply chain strategy?
</t>
    </r>
    <r>
      <rPr>
        <sz val="12"/>
        <color theme="1"/>
        <rFont val="Calibri"/>
        <family val="2"/>
        <scheme val="minor"/>
      </rPr>
      <t>a) Not a factor; we select purely on technical capability and price.
b) Mild concern; we prefer vendors with diversified global hardware sourcing.
c) High concern; we avoid vendors headquartered in politically volatile regions.
d) Critical factor; vendor must have a certified, disruption-proof regional supply chain.</t>
    </r>
  </si>
  <si>
    <r>
      <t xml:space="preserve">What are your requirements for the operational staff managing the underlying cloud infrastructure?
</t>
    </r>
    <r>
      <rPr>
        <sz val="12"/>
        <color theme="1"/>
        <rFont val="Calibri"/>
        <family val="2"/>
        <scheme val="minor"/>
      </rPr>
      <t>a) Any qualified global support engineer can access our backend infrastructure.
b) Support engineers must reside within our continent or economic zone.
c) Support staff must be citizens of our specific country with basic background checks.
d) Support staff must hold active national security/defense clearances.</t>
    </r>
  </si>
  <si>
    <r>
      <t xml:space="preserve">What are your corporate requirements for Cloud Carbon Footprint tracking and reporting?
</t>
    </r>
    <r>
      <rPr>
        <sz val="12"/>
        <color theme="1"/>
        <rFont val="Calibri"/>
        <family val="2"/>
        <scheme val="minor"/>
      </rPr>
      <t>a) No requirement; sustainability metrics do not influence our cloud strategy.
b) Basic annual carbon emission estimates provided by the vendor.
c) Real-time dashboards tracking carbon footprint by product and region.
d) Granular, auditable green metrics directly accessible via billing/carbon APIs.</t>
    </r>
  </si>
  <si>
    <r>
      <t xml:space="preserve">What is your target requirement for the cloud vendor's Power Usage Effectiveness (PUE) and renewable energy usage?
</t>
    </r>
    <r>
      <rPr>
        <sz val="12"/>
        <color theme="1"/>
        <rFont val="Calibri"/>
        <family val="2"/>
        <scheme val="minor"/>
      </rPr>
      <t>a) No preference; data center power efficiency is the vendor's internal business.
b) Prefer vendors with stated future carbon-neutral commitments.
c) Require data centers running on a minimum of 80% renewable energy mixes.
d) Strict requirement for near-zero emission data centers powered by 100% matching renewable energy.</t>
    </r>
  </si>
  <si>
    <r>
      <t xml:space="preserve">How distributed is your physical device or IoT infrastructure?
</t>
    </r>
    <r>
      <rPr>
        <sz val="12"/>
        <color theme="1"/>
        <rFont val="Calibri"/>
        <family val="2"/>
        <scheme val="minor"/>
      </rPr>
      <t>a) No IoT or edge device footprint; standard corporate offices only.
b) Minimal; fewer than 100 static devices requiring basic ingestion.
c) Moderately distributed; thousands of moving devices requiring regional hubs.
d) Massive hyper-scale edge footprint; millions of global devices requiring localized mesh nodes.</t>
    </r>
  </si>
  <si>
    <r>
      <t xml:space="preserve">What level of local offline processing capability do your edge nodes require?
</t>
    </r>
    <r>
      <rPr>
        <sz val="12"/>
        <color theme="1"/>
        <rFont val="Calibri"/>
        <family val="2"/>
        <scheme val="minor"/>
      </rPr>
      <t>a) Zero offline capability; devices are always connected to the internet.
b) Basic local buffering of data during temporary internet drops.
c) Heavy local data processing and filtering with periodic cloud sync.
d) Zero-dependency localized execution; edge nodes run full AI inference offline indefinitely.</t>
    </r>
  </si>
  <si>
    <r>
      <t xml:space="preserve">How important is vendor dominance within your specific vertical (e.g., Healthcare, FinTech, Retail)?
</t>
    </r>
    <r>
      <rPr>
        <sz val="12"/>
        <color theme="1"/>
        <rFont val="Calibri"/>
        <family val="2"/>
        <scheme val="minor"/>
      </rPr>
      <t>a) Not important; horizontal cloud capabilities fit all our business needs.
b) Mildly important; vendor should have a few recognizable case studies in our sector.
c) Highly important; vendor must offer industry-tuned reference architectures.
d) Non-negotiable; vendor must have a dedicated, vertically certified industry business unit.</t>
    </r>
  </si>
  <si>
    <r>
      <t xml:space="preserve">How do you want to handle unexpected, volatile cost spikes (e.g., viral traffic or DDoS)?
</t>
    </r>
    <r>
      <rPr>
        <sz val="12"/>
        <color theme="1"/>
        <rFont val="Calibri"/>
        <family val="2"/>
        <scheme val="minor"/>
      </rPr>
      <t>a) We accept the financial risk of variable usage-based billing.
b) Standard notifications when costs cross a monthly budget line.
c) Hard billing caps that automatically shut down non-critical infrastructure.
d) Automated financial guardrails that throttle or isolate anomalies without complete shutdown.</t>
    </r>
  </si>
  <si>
    <r>
      <t xml:space="preserve">What is your requirement for Disaster Recovery (DR) geographic separation distances?
</t>
    </r>
    <r>
      <rPr>
        <sz val="12"/>
        <color theme="1"/>
        <rFont val="Calibri"/>
        <family val="2"/>
        <scheme val="minor"/>
      </rPr>
      <t>a) No specific distance; same-city data centers are fine for DR.
b) Minimum 100-mile separation between primary and secondary sites.
c) Inter-state or cross-country separation to survive massive weather events.
d) Multi-continental active DR separation to survive severe regional geopolitical crises.</t>
    </r>
  </si>
  <si>
    <r>
      <t xml:space="preserve">How must software supply chain security (e.g., open-source vulnerabilities, image tampering) be handled?
</t>
    </r>
    <r>
      <rPr>
        <sz val="12"/>
        <color theme="1"/>
        <rFont val="Calibri"/>
        <family val="2"/>
        <scheme val="minor"/>
      </rPr>
      <t>a) Handled manually by development teams using basic local scanners.
b) Basic container image scanning inside the cloud container registry.
c) Continuous automated vulnerability scanning across all running environments.
d) Full zero-trust software bills of materials (SBOM) verification at every runtime stage.</t>
    </r>
  </si>
  <si>
    <r>
      <t xml:space="preserve">What are your requirements for proof-of-concept (PoC) funding and vendor migration credits?
</t>
    </r>
    <r>
      <rPr>
        <sz val="12"/>
        <color theme="1"/>
        <rFont val="Calibri"/>
        <family val="2"/>
        <scheme val="minor"/>
      </rPr>
      <t xml:space="preserve">
a) We pay for all PoC and migration environments out of our pocket.
b) We expect basic self-service promotional credits to get started.
c) We require structured engineering partner hours funded directly by the vendor.
d) Comprehensive, milestone-based cash back credits and fully funded migration programs.</t>
    </r>
  </si>
  <si>
    <r>
      <t xml:space="preserve">What is your requirement for Infrastructure-as-Code (IaC) drift enforcement?
a) We do not enforce drift; manual console adjustments are allowed.
</t>
    </r>
    <r>
      <rPr>
        <sz val="12"/>
        <color theme="1"/>
        <rFont val="Calibri"/>
        <family val="2"/>
        <scheme val="minor"/>
      </rPr>
      <t>b) Periodic automated scan reports showing which settings changed from code.
c) Automatic blocking of manual configurations via strict IAM policy controls.
d) Real-time automated GitOps rollbacks that immediately overwrite manual console changes.</t>
    </r>
  </si>
  <si>
    <r>
      <t xml:space="preserve">What is your strategy for optimizing Last-Mile network delivery to users?
</t>
    </r>
    <r>
      <rPr>
        <sz val="12"/>
        <color theme="1"/>
        <rFont val="Calibri"/>
        <family val="2"/>
        <scheme val="minor"/>
      </rPr>
      <t>a) Standard public routing; internet service providers handle the delivery path.
b) Basic implementation of Content Delivery Networks (CDN) for static assets.
c) Advanced CDN caching combined with edge-side scripting capabilities.
d) Direct vendor network integration with local telecom carriers for cellular optimization.</t>
    </r>
  </si>
  <si>
    <r>
      <t xml:space="preserve">What is your requirement for database read-replica scale-out speed?
</t>
    </r>
    <r>
      <rPr>
        <sz val="12"/>
        <color theme="1"/>
        <rFont val="Calibri"/>
        <family val="2"/>
        <scheme val="minor"/>
      </rPr>
      <t>a) Manual creation of read replicas during peak historical seasons.
b) Scheduled read-replica scaling aligned with known calendar traffic.
c) Auto-scaling replicas based on read-request latency thresholds.
d) Global, serverless dynamic read/write routing that scales instantly per request.</t>
    </r>
  </si>
  <si>
    <r>
      <t xml:space="preserve">How frequently do you require automated, non-disruptive disaster recovery testing?
</t>
    </r>
    <r>
      <rPr>
        <sz val="12"/>
        <color theme="1"/>
        <rFont val="Calibri"/>
        <family val="2"/>
        <scheme val="minor"/>
      </rPr>
      <t>a) Never or ad-hoc; we trust our configuration works in a real crisis.
b) Annual scheduled manual test windows during low-traffic weekends.
c) Quarterly automated testing run in isolated shadow environments.
d) Continuous, automated chaos engineering injections directly into live production.</t>
    </r>
  </si>
  <si>
    <r>
      <t xml:space="preserve">What is your architectural standard regarding vendor-proprietary databases (e.g., DynamoDB, CosmosDB)?
</t>
    </r>
    <r>
      <rPr>
        <sz val="12"/>
        <color theme="1"/>
        <rFont val="Calibri"/>
        <family val="2"/>
        <scheme val="minor"/>
      </rPr>
      <t>a) Fully embrace them to get the fastest time-to-market advantage.
b) Use them for non-critical services but keep core systems on generic SQL/NoSQL.
c) Avoid them entirely; all databases must run on open-source engines (e.g., Postgres, Redis).
d) Strict abstraction layer usage; all database calls must go through multi-cloud drivers.</t>
    </r>
  </si>
  <si>
    <t>What is your policy or requirement regarding Cloud Egress Fee Waivers?
a) Egress fees are minor; we don't need a formal waiver agreement.
b) We try to design architecture carefully to minimize egress naturally.
c) We require a contract that caps or drops egress costs if migrating from a rival cloud.
d) Non-negotiable requirement for 100% zero-egress pricing models or dedicated enterprise waivers.</t>
  </si>
  <si>
    <t>User Priority</t>
  </si>
  <si>
    <t>b</t>
  </si>
  <si>
    <t>User Score</t>
  </si>
  <si>
    <t>Weight Priority
Low - 1 High - 5</t>
  </si>
  <si>
    <t>Client Target Scores</t>
  </si>
  <si>
    <t>d</t>
  </si>
  <si>
    <t>c</t>
  </si>
  <si>
    <t>Normalized Weight</t>
  </si>
  <si>
    <t>AWS Fit</t>
  </si>
  <si>
    <t>Azure Fit</t>
  </si>
  <si>
    <t>GCP Fit</t>
  </si>
  <si>
    <t>OCI Fit</t>
  </si>
  <si>
    <t>Azure</t>
  </si>
  <si>
    <t>GCP</t>
  </si>
  <si>
    <t>OCI</t>
  </si>
  <si>
    <t>IBM</t>
  </si>
  <si>
    <t>Alibaba</t>
  </si>
  <si>
    <t xml:space="preserve">AWS </t>
  </si>
  <si>
    <t>IBM Fit</t>
  </si>
  <si>
    <t>Alibaba Fit</t>
  </si>
  <si>
    <t>Vendor Scores</t>
  </si>
  <si>
    <t>© 2026 Amit Kulkarni.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</si>
</sst>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sz val="12"/>
      <color theme="1"/>
      <name val="Calibri"/>
      <family val="2"/>
      <scheme val="minor"/>
    </font>
    <font>
      <u/>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top/>
      <bottom style="medium">
        <color rgb="FFDCDFE5"/>
      </bottom>
      <diagonal/>
    </border>
  </borders>
  <cellStyleXfs count="1">
    <xf numFmtId="0" fontId="0" fillId="0" borderId="0"/>
  </cellStyleXfs>
  <cellXfs count="35">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164" fontId="2" fillId="0" borderId="1" xfId="0" applyNumberFormat="1" applyFont="1" applyBorder="1" applyAlignment="1">
      <alignment vertical="top" wrapText="1"/>
    </xf>
    <xf numFmtId="164" fontId="2" fillId="0" borderId="0" xfId="0" applyNumberFormat="1" applyFont="1" applyAlignment="1">
      <alignment vertical="top" wrapText="1"/>
    </xf>
    <xf numFmtId="0" fontId="3" fillId="0" borderId="1" xfId="0" applyFont="1" applyBorder="1" applyAlignment="1">
      <alignment horizontal="center" vertical="center" wrapText="1"/>
    </xf>
    <xf numFmtId="0" fontId="0" fillId="0" borderId="0" xfId="0" applyAlignment="1">
      <alignment vertical="top"/>
    </xf>
    <xf numFmtId="0" fontId="1" fillId="0" borderId="1" xfId="0" applyFont="1" applyBorder="1" applyAlignment="1">
      <alignment vertical="top" wrapText="1"/>
    </xf>
    <xf numFmtId="0" fontId="2" fillId="0" borderId="1" xfId="0" applyFont="1" applyBorder="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vertical="top"/>
    </xf>
    <xf numFmtId="0" fontId="5" fillId="0" borderId="1" xfId="0" applyFont="1" applyBorder="1" applyAlignment="1">
      <alignment vertical="top" wrapText="1"/>
    </xf>
    <xf numFmtId="0" fontId="5" fillId="0" borderId="0" xfId="0" applyFont="1" applyAlignment="1">
      <alignment vertical="top" wrapText="1"/>
    </xf>
    <xf numFmtId="0" fontId="5" fillId="0" borderId="1"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top" wrapText="1"/>
    </xf>
    <xf numFmtId="0" fontId="2" fillId="0" borderId="0" xfId="0" applyFont="1"/>
    <xf numFmtId="0" fontId="3" fillId="0" borderId="0" xfId="0" applyFont="1" applyAlignment="1">
      <alignment vertical="top"/>
    </xf>
    <xf numFmtId="2" fontId="0" fillId="0" borderId="0" xfId="0" applyNumberFormat="1"/>
    <xf numFmtId="0" fontId="1" fillId="0" borderId="0" xfId="0" applyFont="1"/>
    <xf numFmtId="2" fontId="2" fillId="0" borderId="0" xfId="0" applyNumberFormat="1" applyFont="1" applyAlignment="1">
      <alignment wrapText="1"/>
    </xf>
    <xf numFmtId="0" fontId="1" fillId="0" borderId="0" xfId="0" applyFont="1" applyAlignment="1">
      <alignment horizontal="center"/>
    </xf>
    <xf numFmtId="0" fontId="1" fillId="0" borderId="0" xfId="0" applyFont="1" applyAlignment="1">
      <alignment horizontal="center" vertical="top"/>
    </xf>
    <xf numFmtId="0" fontId="0" fillId="0" borderId="1" xfId="0" applyBorder="1" applyAlignment="1" applyProtection="1">
      <alignment vertical="top" wrapText="1"/>
      <protection hidden="1"/>
    </xf>
    <xf numFmtId="2" fontId="0" fillId="0" borderId="1" xfId="0" applyNumberFormat="1" applyBorder="1" applyAlignment="1" applyProtection="1">
      <alignment vertical="top" wrapText="1"/>
      <protection hidden="1"/>
    </xf>
    <xf numFmtId="2" fontId="0" fillId="0" borderId="0" xfId="0" applyNumberFormat="1" applyAlignment="1" applyProtection="1">
      <alignment vertical="top"/>
      <protection hidden="1"/>
    </xf>
    <xf numFmtId="2" fontId="2" fillId="0" borderId="0" xfId="0" applyNumberFormat="1" applyFont="1" applyAlignment="1" applyProtection="1">
      <alignment vertical="top" wrapText="1"/>
      <protection hidden="1"/>
    </xf>
    <xf numFmtId="2" fontId="2" fillId="0" borderId="0" xfId="0" applyNumberFormat="1" applyFont="1" applyProtection="1">
      <protection hidden="1"/>
    </xf>
    <xf numFmtId="2" fontId="2" fillId="0" borderId="0" xfId="0" applyNumberFormat="1" applyFont="1" applyAlignment="1" applyProtection="1">
      <alignment wrapText="1"/>
      <protection hidden="1"/>
    </xf>
    <xf numFmtId="0" fontId="6" fillId="0" borderId="0" xfId="0" applyFont="1"/>
    <xf numFmtId="0" fontId="0" fillId="0" borderId="1" xfId="0" applyBorder="1" applyAlignment="1" applyProtection="1">
      <alignment vertical="top" wrapText="1"/>
      <protection locked="0"/>
    </xf>
  </cellXfs>
  <cellStyles count="1">
    <cellStyle name="Normal" xfId="0" builtinId="0"/>
  </cellStyles>
  <dxfs count="35">
    <dxf>
      <alignment horizontal="general" vertical="top" textRotation="0" wrapText="1" indent="0" justifyLastLine="0" shrinkToFit="0" readingOrder="0"/>
      <border diagonalUp="0" diagonalDown="0">
        <left/>
        <right/>
        <top/>
        <bottom style="medium">
          <color rgb="FFDCDFE5"/>
        </bottom>
        <vertical/>
        <horizontal/>
      </border>
      <protection locked="0" hidden="0"/>
    </dxf>
    <dxf>
      <alignment horizontal="general" vertical="top" textRotation="0" wrapText="1" indent="0" justifyLastLine="0" shrinkToFit="0" readingOrder="0"/>
      <border diagonalUp="0" diagonalDown="0">
        <left/>
        <right/>
        <top/>
        <bottom style="medium">
          <color rgb="FFDCDFE5"/>
        </bottom>
        <vertical/>
        <horizontal/>
      </border>
      <protection locked="0" hidden="0"/>
    </dxf>
    <dxf>
      <numFmt numFmtId="2" formatCode="0.00"/>
      <alignment horizontal="general" vertical="top" textRotation="0" wrapText="0" indent="0" justifyLastLine="0" shrinkToFit="0" readingOrder="0"/>
      <protection locked="1" hidden="1"/>
    </dxf>
    <dxf>
      <numFmt numFmtId="2" formatCode="0.00"/>
      <alignment horizontal="general" vertical="top" textRotation="0" wrapText="1" indent="0" justifyLastLine="0" shrinkToFit="0" readingOrder="0"/>
      <border diagonalUp="0" diagonalDown="0">
        <left/>
        <right/>
        <top/>
        <bottom style="medium">
          <color rgb="FFDCDFE5"/>
        </bottom>
        <vertical/>
        <horizontal/>
      </border>
      <protection locked="1" hidden="1"/>
    </dxf>
    <dxf>
      <alignment horizontal="general" vertical="top" textRotation="0" wrapText="1" indent="0" justifyLastLine="0" shrinkToFit="0" readingOrder="0"/>
      <border diagonalUp="0" diagonalDown="0">
        <left/>
        <right/>
        <top/>
        <bottom style="medium">
          <color rgb="FFDCDFE5"/>
        </bottom>
        <vertical/>
        <horizontal/>
      </border>
      <protection locked="1" hidden="1"/>
    </dxf>
    <dxf>
      <font>
        <b val="0"/>
        <i val="0"/>
        <strike val="0"/>
        <condense val="0"/>
        <extend val="0"/>
        <outline val="0"/>
        <shadow val="0"/>
        <u/>
        <vertAlign val="baseline"/>
        <sz val="12"/>
        <color theme="1"/>
        <name val="Calibri"/>
        <family val="2"/>
        <scheme val="minor"/>
      </font>
      <alignment horizontal="general" vertical="center"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alignment horizontal="general" vertical="center" textRotation="0" wrapText="1" indent="0" justifyLastLine="0" shrinkToFit="0" readingOrder="0"/>
      <border diagonalUp="0" diagonalDown="0">
        <left/>
        <right/>
        <top/>
        <bottom style="medium">
          <color rgb="FFDCDFE5"/>
        </bottom>
        <vertical/>
        <horizontal/>
      </border>
    </dxf>
    <dxf>
      <alignment horizontal="general" vertical="top" textRotation="0" wrapText="1" indent="0" justifyLastLine="0" shrinkToFit="0" readingOrder="0"/>
    </dxf>
    <dxf>
      <font>
        <b/>
        <i val="0"/>
        <strike val="0"/>
        <condense val="0"/>
        <extend val="0"/>
        <outline val="0"/>
        <shadow val="0"/>
        <u val="none"/>
        <vertAlign val="baseline"/>
        <sz val="16"/>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numFmt numFmtId="164" formatCode="0.0"/>
      <alignment horizontal="general" vertical="top"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alignment horizontal="general" vertical="center" textRotation="0" wrapText="1" indent="0" justifyLastLine="0" shrinkToFit="0" readingOrder="0"/>
      <border diagonalUp="0" diagonalDown="0">
        <left/>
        <right/>
        <top/>
        <bottom style="medium">
          <color rgb="FFDCDFE5"/>
        </bottom>
        <vertical/>
        <horizontal/>
      </border>
    </dxf>
    <dxf>
      <font>
        <b val="0"/>
        <i val="0"/>
        <strike val="0"/>
        <condense val="0"/>
        <extend val="0"/>
        <outline val="0"/>
        <shadow val="0"/>
        <u val="none"/>
        <vertAlign val="baseline"/>
        <sz val="14"/>
        <color theme="1"/>
        <name val="Calibri"/>
        <family val="2"/>
        <scheme val="minor"/>
      </font>
      <alignment horizontal="general" vertical="top" textRotation="0" wrapText="1" indent="0" justifyLastLine="0" shrinkToFit="0" readingOrder="0"/>
    </dxf>
    <dxf>
      <border outline="0">
        <bottom style="medium">
          <color rgb="FFDCDFE5"/>
        </bottom>
      </border>
    </dxf>
    <dxf>
      <font>
        <b/>
        <i val="0"/>
        <strike val="0"/>
        <condense val="0"/>
        <extend val="0"/>
        <outline val="0"/>
        <shadow val="0"/>
        <u val="none"/>
        <vertAlign val="baseline"/>
        <sz val="16"/>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6"/>
        <color theme="1"/>
        <name val="Calibri"/>
        <family val="2"/>
        <scheme val="minor"/>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IN"/>
              <a:t>Cloud </a:t>
            </a:r>
            <a:r>
              <a:rPr lang="en-IN" baseline="0"/>
              <a:t>Vendor Evaluation</a:t>
            </a:r>
            <a:endParaRPr lang="en-IN"/>
          </a:p>
        </c:rich>
      </c:tx>
      <c:layout>
        <c:manualLayout>
          <c:xMode val="edge"/>
          <c:yMode val="edge"/>
          <c:x val="0.10285714285714287"/>
          <c:y val="1.5503875968992248E-2"/>
        </c:manualLayout>
      </c:layout>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IN"/>
        </a:p>
      </c:txPr>
    </c:title>
    <c:autoTitleDeleted val="0"/>
    <c:plotArea>
      <c:layout>
        <c:manualLayout>
          <c:layoutTarget val="inner"/>
          <c:xMode val="edge"/>
          <c:yMode val="edge"/>
          <c:x val="0.15186874351461882"/>
          <c:y val="0.16772411493117817"/>
          <c:w val="0.91901470649502148"/>
          <c:h val="0.79421024018088271"/>
        </c:manualLayout>
      </c:layout>
      <c:radarChart>
        <c:radarStyle val="marker"/>
        <c:varyColors val="0"/>
        <c:ser>
          <c:idx val="0"/>
          <c:order val="0"/>
          <c:tx>
            <c:strRef>
              <c:f>Vendor_Rankings!$D$24</c:f>
              <c:strCache>
                <c:ptCount val="1"/>
                <c:pt idx="0">
                  <c:v>AWS </c:v>
                </c:pt>
              </c:strCache>
            </c:strRef>
          </c:tx>
          <c:spPr>
            <a:ln w="28575" cap="rnd">
              <a:solidFill>
                <a:schemeClr val="accent5">
                  <a:tint val="50000"/>
                </a:schemeClr>
              </a:solidFill>
            </a:ln>
            <a:effectLst>
              <a:glow rad="76200">
                <a:schemeClr val="accent5">
                  <a:tint val="50000"/>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Vendor_Rankings!$D$25</c:f>
              <c:numCache>
                <c:formatCode>0.00</c:formatCode>
                <c:ptCount val="1"/>
                <c:pt idx="0">
                  <c:v>0.59628571428571453</c:v>
                </c:pt>
              </c:numCache>
            </c:numRef>
          </c:val>
          <c:extLst>
            <c:ext xmlns:c16="http://schemas.microsoft.com/office/drawing/2014/chart" uri="{C3380CC4-5D6E-409C-BE32-E72D297353CC}">
              <c16:uniqueId val="{00000000-A9CD-45D6-A14C-003790E92F71}"/>
            </c:ext>
          </c:extLst>
        </c:ser>
        <c:ser>
          <c:idx val="1"/>
          <c:order val="1"/>
          <c:tx>
            <c:strRef>
              <c:f>Vendor_Rankings!$E$24</c:f>
              <c:strCache>
                <c:ptCount val="1"/>
                <c:pt idx="0">
                  <c:v>Azure</c:v>
                </c:pt>
              </c:strCache>
            </c:strRef>
          </c:tx>
          <c:spPr>
            <a:ln w="28575" cap="rnd">
              <a:solidFill>
                <a:schemeClr val="accent5">
                  <a:tint val="70000"/>
                </a:schemeClr>
              </a:solidFill>
            </a:ln>
            <a:effectLst>
              <a:glow rad="76200">
                <a:schemeClr val="accent5">
                  <a:tint val="70000"/>
                  <a:satMod val="175000"/>
                  <a:alpha val="34000"/>
                </a:schemeClr>
              </a:glow>
            </a:effectLst>
          </c:spPr>
          <c:marker>
            <c:symbol val="circle"/>
            <c:size val="4"/>
            <c:spPr>
              <a:solidFill>
                <a:schemeClr val="accent5">
                  <a:tint val="70000"/>
                  <a:lumMod val="60000"/>
                  <a:lumOff val="40000"/>
                </a:schemeClr>
              </a:solidFill>
              <a:ln>
                <a:noFill/>
              </a:ln>
              <a:effectLst>
                <a:glow rad="63500">
                  <a:schemeClr val="accent5">
                    <a:tint val="7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Vendor_Rankings!$E$25</c:f>
              <c:numCache>
                <c:formatCode>0.00</c:formatCode>
                <c:ptCount val="1"/>
                <c:pt idx="0">
                  <c:v>0.59171428571428608</c:v>
                </c:pt>
              </c:numCache>
            </c:numRef>
          </c:val>
          <c:extLst>
            <c:ext xmlns:c16="http://schemas.microsoft.com/office/drawing/2014/chart" uri="{C3380CC4-5D6E-409C-BE32-E72D297353CC}">
              <c16:uniqueId val="{00000001-A9CD-45D6-A14C-003790E92F71}"/>
            </c:ext>
          </c:extLst>
        </c:ser>
        <c:ser>
          <c:idx val="2"/>
          <c:order val="2"/>
          <c:tx>
            <c:strRef>
              <c:f>Vendor_Rankings!$F$24</c:f>
              <c:strCache>
                <c:ptCount val="1"/>
                <c:pt idx="0">
                  <c:v>GCP</c:v>
                </c:pt>
              </c:strCache>
            </c:strRef>
          </c:tx>
          <c:spPr>
            <a:ln w="28575" cap="rnd">
              <a:solidFill>
                <a:schemeClr val="accent5">
                  <a:tint val="90000"/>
                </a:schemeClr>
              </a:solidFill>
            </a:ln>
            <a:effectLst>
              <a:glow rad="76200">
                <a:schemeClr val="accent5">
                  <a:tint val="90000"/>
                  <a:satMod val="175000"/>
                  <a:alpha val="34000"/>
                </a:schemeClr>
              </a:glow>
            </a:effectLst>
          </c:spPr>
          <c:marker>
            <c:symbol val="circle"/>
            <c:size val="4"/>
            <c:spPr>
              <a:solidFill>
                <a:schemeClr val="accent5">
                  <a:tint val="90000"/>
                  <a:lumMod val="60000"/>
                  <a:lumOff val="40000"/>
                </a:schemeClr>
              </a:solidFill>
              <a:ln>
                <a:noFill/>
              </a:ln>
              <a:effectLst>
                <a:glow rad="63500">
                  <a:schemeClr val="accent5">
                    <a:tint val="9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Vendor_Rankings!$F$25</c:f>
              <c:numCache>
                <c:formatCode>0.00</c:formatCode>
                <c:ptCount val="1"/>
                <c:pt idx="0">
                  <c:v>0.60238095238095257</c:v>
                </c:pt>
              </c:numCache>
            </c:numRef>
          </c:val>
          <c:extLst>
            <c:ext xmlns:c16="http://schemas.microsoft.com/office/drawing/2014/chart" uri="{C3380CC4-5D6E-409C-BE32-E72D297353CC}">
              <c16:uniqueId val="{00000002-A9CD-45D6-A14C-003790E92F71}"/>
            </c:ext>
          </c:extLst>
        </c:ser>
        <c:ser>
          <c:idx val="3"/>
          <c:order val="3"/>
          <c:tx>
            <c:strRef>
              <c:f>Vendor_Rankings!$G$24</c:f>
              <c:strCache>
                <c:ptCount val="1"/>
                <c:pt idx="0">
                  <c:v>OCI</c:v>
                </c:pt>
              </c:strCache>
            </c:strRef>
          </c:tx>
          <c:spPr>
            <a:ln w="28575" cap="rnd">
              <a:solidFill>
                <a:schemeClr val="accent5">
                  <a:shade val="90000"/>
                </a:schemeClr>
              </a:solidFill>
            </a:ln>
            <a:effectLst>
              <a:glow rad="76200">
                <a:schemeClr val="accent5">
                  <a:shade val="90000"/>
                  <a:satMod val="175000"/>
                  <a:alpha val="34000"/>
                </a:schemeClr>
              </a:glow>
            </a:effectLst>
          </c:spPr>
          <c:marker>
            <c:symbol val="circle"/>
            <c:size val="4"/>
            <c:spPr>
              <a:solidFill>
                <a:schemeClr val="accent5">
                  <a:shade val="90000"/>
                  <a:lumMod val="60000"/>
                  <a:lumOff val="40000"/>
                </a:schemeClr>
              </a:solidFill>
              <a:ln>
                <a:noFill/>
              </a:ln>
              <a:effectLst>
                <a:glow rad="63500">
                  <a:schemeClr val="accent5">
                    <a:shade val="9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Vendor_Rankings!$G$25</c:f>
              <c:numCache>
                <c:formatCode>0.00</c:formatCode>
                <c:ptCount val="1"/>
                <c:pt idx="0">
                  <c:v>0.64866666666666684</c:v>
                </c:pt>
              </c:numCache>
            </c:numRef>
          </c:val>
          <c:extLst>
            <c:ext xmlns:c16="http://schemas.microsoft.com/office/drawing/2014/chart" uri="{C3380CC4-5D6E-409C-BE32-E72D297353CC}">
              <c16:uniqueId val="{00000003-A9CD-45D6-A14C-003790E92F71}"/>
            </c:ext>
          </c:extLst>
        </c:ser>
        <c:ser>
          <c:idx val="4"/>
          <c:order val="4"/>
          <c:tx>
            <c:strRef>
              <c:f>Vendor_Rankings!$H$24</c:f>
              <c:strCache>
                <c:ptCount val="1"/>
                <c:pt idx="0">
                  <c:v>IBM</c:v>
                </c:pt>
              </c:strCache>
            </c:strRef>
          </c:tx>
          <c:spPr>
            <a:ln w="28575" cap="rnd">
              <a:solidFill>
                <a:schemeClr val="accent5">
                  <a:shade val="70000"/>
                </a:schemeClr>
              </a:solidFill>
            </a:ln>
            <a:effectLst>
              <a:glow rad="76200">
                <a:schemeClr val="accent5">
                  <a:shade val="70000"/>
                  <a:satMod val="175000"/>
                  <a:alpha val="34000"/>
                </a:schemeClr>
              </a:glow>
            </a:effectLst>
          </c:spPr>
          <c:marker>
            <c:symbol val="circle"/>
            <c:size val="4"/>
            <c:spPr>
              <a:solidFill>
                <a:schemeClr val="accent5">
                  <a:shade val="70000"/>
                  <a:lumMod val="60000"/>
                  <a:lumOff val="40000"/>
                </a:schemeClr>
              </a:solidFill>
              <a:ln>
                <a:noFill/>
              </a:ln>
              <a:effectLst>
                <a:glow rad="63500">
                  <a:schemeClr val="accent5">
                    <a:shade val="7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Vendor_Rankings!$H$25</c:f>
              <c:numCache>
                <c:formatCode>0.00</c:formatCode>
                <c:ptCount val="1"/>
                <c:pt idx="0">
                  <c:v>0.67533333333333379</c:v>
                </c:pt>
              </c:numCache>
            </c:numRef>
          </c:val>
          <c:extLst>
            <c:ext xmlns:c16="http://schemas.microsoft.com/office/drawing/2014/chart" uri="{C3380CC4-5D6E-409C-BE32-E72D297353CC}">
              <c16:uniqueId val="{00000004-A9CD-45D6-A14C-003790E92F71}"/>
            </c:ext>
          </c:extLst>
        </c:ser>
        <c:ser>
          <c:idx val="5"/>
          <c:order val="5"/>
          <c:tx>
            <c:strRef>
              <c:f>Vendor_Rankings!$I$24</c:f>
              <c:strCache>
                <c:ptCount val="1"/>
                <c:pt idx="0">
                  <c:v>Alibaba</c:v>
                </c:pt>
              </c:strCache>
            </c:strRef>
          </c:tx>
          <c:spPr>
            <a:ln w="28575" cap="rnd">
              <a:solidFill>
                <a:schemeClr val="accent5">
                  <a:shade val="50000"/>
                </a:schemeClr>
              </a:solidFill>
            </a:ln>
            <a:effectLst>
              <a:glow rad="76200">
                <a:schemeClr val="accent5">
                  <a:shade val="50000"/>
                  <a:satMod val="175000"/>
                  <a:alpha val="34000"/>
                </a:schemeClr>
              </a:glow>
            </a:effectLst>
          </c:spPr>
          <c:marker>
            <c:symbol val="circle"/>
            <c:size val="4"/>
            <c:spPr>
              <a:solidFill>
                <a:schemeClr val="accent5">
                  <a:shade val="50000"/>
                  <a:lumMod val="60000"/>
                  <a:lumOff val="40000"/>
                </a:schemeClr>
              </a:solidFill>
              <a:ln>
                <a:noFill/>
              </a:ln>
              <a:effectLst>
                <a:glow rad="63500">
                  <a:schemeClr val="accent5">
                    <a:shade val="5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Vendor_Rankings!$I$25</c:f>
              <c:numCache>
                <c:formatCode>0.00</c:formatCode>
                <c:ptCount val="1"/>
                <c:pt idx="0">
                  <c:v>0.70447619047619081</c:v>
                </c:pt>
              </c:numCache>
            </c:numRef>
          </c:val>
          <c:extLst>
            <c:ext xmlns:c16="http://schemas.microsoft.com/office/drawing/2014/chart" uri="{C3380CC4-5D6E-409C-BE32-E72D297353CC}">
              <c16:uniqueId val="{00000005-A9CD-45D6-A14C-003790E92F71}"/>
            </c:ext>
          </c:extLst>
        </c:ser>
        <c:dLbls>
          <c:showLegendKey val="0"/>
          <c:showVal val="1"/>
          <c:showCatName val="0"/>
          <c:showSerName val="0"/>
          <c:showPercent val="0"/>
          <c:showBubbleSize val="0"/>
        </c:dLbls>
        <c:axId val="1720558831"/>
        <c:axId val="1720560271"/>
      </c:radarChart>
      <c:catAx>
        <c:axId val="1720558831"/>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560271"/>
        <c:crosses val="autoZero"/>
        <c:auto val="1"/>
        <c:lblAlgn val="ctr"/>
        <c:lblOffset val="100"/>
        <c:noMultiLvlLbl val="0"/>
      </c:catAx>
      <c:valAx>
        <c:axId val="1720560271"/>
        <c:scaling>
          <c:orientation val="minMax"/>
          <c:max val="4"/>
          <c:min val="1"/>
        </c:scaling>
        <c:delete val="0"/>
        <c:axPos val="l"/>
        <c:majorGridlines>
          <c:spPr>
            <a:ln w="9525" cap="flat" cmpd="sng" algn="ctr">
              <a:solidFill>
                <a:schemeClr val="lt1">
                  <a:alpha val="2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5588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91440</xdr:colOff>
      <xdr:row>30</xdr:row>
      <xdr:rowOff>0</xdr:rowOff>
    </xdr:from>
    <xdr:to>
      <xdr:col>8</xdr:col>
      <xdr:colOff>495300</xdr:colOff>
      <xdr:row>55</xdr:row>
      <xdr:rowOff>45720</xdr:rowOff>
    </xdr:to>
    <xdr:graphicFrame macro="">
      <xdr:nvGraphicFramePr>
        <xdr:cNvPr id="2" name="Chart 1">
          <a:extLst>
            <a:ext uri="{FF2B5EF4-FFF2-40B4-BE49-F238E27FC236}">
              <a16:creationId xmlns:a16="http://schemas.microsoft.com/office/drawing/2014/main" id="{4BE256CA-8EDD-4FB5-8366-634F99AF3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9A6EC5-5513-4B56-A1C4-49764987AF66}" name="Table1" displayName="Table1" ref="A1:V7" totalsRowShown="0" headerRowDxfId="33" dataDxfId="31" headerRowBorderDxfId="32">
  <autoFilter ref="A1:V7" xr:uid="{519A6EC5-5513-4B56-A1C4-49764987AF66}"/>
  <tableColumns count="22">
    <tableColumn id="1" xr3:uid="{52DDB98B-E84C-4529-912B-820CAC7EC409}" name="Vendor Name " dataDxfId="30"/>
    <tableColumn id="2" xr3:uid="{338D0AD0-01C2-4F61-A82F-BDA2F6FDF138}" name="Market Share &amp; Industry Presence" dataDxfId="29"/>
    <tableColumn id="3" xr3:uid="{C456307C-94FB-42EC-B1FC-AF4B4786BF4A}" name="Pricing Models &amp; Transparency" dataDxfId="28"/>
    <tableColumn id="4" xr3:uid="{73B2E636-9EF9-4CA9-8C1D-BD41498871F2}" name="Global Data Center Footprint" dataDxfId="27"/>
    <tableColumn id="5" xr3:uid="{F9C1CB30-9294-4E4F-8866-48A30A550714}" name="Compliance &amp; Security" dataDxfId="26"/>
    <tableColumn id="6" xr3:uid="{FDB62100-4427-415E-A31E-CEB40E9057E4}" name="Hybrid Cloud Capabilities" dataDxfId="25"/>
    <tableColumn id="7" xr3:uid="{34B93B9A-A078-4F04-B618-C48D6C417B42}" name="Enterprise Agreements &amp; Licensing Flexibilities" dataDxfId="24"/>
    <tableColumn id="8" xr3:uid="{11E335C8-84A1-4A4E-B6BB-90FF88AB4A85}" name="DevOps Integration" dataDxfId="23"/>
    <tableColumn id="9" xr3:uid="{FDCB189C-3A1D-47E7-BFA8-0B1FF5C5F196}" name="Global Network Infrastructure &amp; Performance" dataDxfId="22"/>
    <tableColumn id="10" xr3:uid="{C1C45F28-C7B6-49FB-BF0E-FE8872E7DE52}" name="Latency, Throughput &amp; Scalability" dataDxfId="21"/>
    <tableColumn id="11" xr3:uid="{04C55EF5-44C0-4741-BC8B-E1D0DD153772}" name="Failover &amp; High Availability" dataDxfId="20"/>
    <tableColumn id="12" xr3:uid="{41CFA7E3-E291-40AD-AC5F-E1B50DB3798A}" name="Vendor Lock-in &amp; Portability" dataDxfId="19"/>
    <tableColumn id="13" xr3:uid="{B82A32D1-AFB5-4556-AC9E-A60FC77B5ECB}" name="Management &amp; Monitoring Tools" dataDxfId="18"/>
    <tableColumn id="14" xr3:uid="{DDB5373D-761D-446B-B8D6-245887174820}" name="Cost Management &amp; Optimization" dataDxfId="17"/>
    <tableColumn id="15" xr3:uid="{FED075DC-C759-40FA-AE0E-82B74C6E27A4}" name="Storage Performance &amp; IOPS" dataDxfId="16"/>
    <tableColumn id="16" xr3:uid="{3406619D-B978-4D13-91AA-A3445B1F541A}" name="Total Cost of Ownership (TCO) Analysis" dataDxfId="15"/>
    <tableColumn id="17" xr3:uid="{34F4A3E9-10E4-4B1F-98FF-742B55093546}" name="Data Transfer &amp; Egress Cost" dataDxfId="14"/>
    <tableColumn id="18" xr3:uid="{07F17B39-D511-46C3-AB59-3EBC24836705}" name="Network Security &amp; Firewalls" dataDxfId="13"/>
    <tableColumn id="19" xr3:uid="{3BF90B0B-BCA2-4920-AEF1-A5A14E6387DC}" name="AI/ML Platform Capabilities" dataDxfId="12"/>
    <tableColumn id="20" xr3:uid="{FA8CF6DB-C21B-4568-83B0-62531299E5A6}" name="Data Analytics &amp; Big Data" dataDxfId="11"/>
    <tableColumn id="21" xr3:uid="{F3AC00CD-BEE2-47DE-A2DA-640037E71931}" name="Customer Support &amp; SLA Levels" dataDxfId="10"/>
    <tableColumn id="22" xr3:uid="{C581A637-9415-40C6-B552-CE3701EC8BF2}" name="Developer Ecosystem &amp; Community"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5343D0-2B4D-4664-BDE3-7AACF8D793AC}" name="Table2" displayName="Table2" ref="B1:H66" totalsRowShown="0" headerRowDxfId="8" dataDxfId="7">
  <autoFilter ref="B1:H66" xr:uid="{855343D0-2B4D-4664-BDE3-7AACF8D793AC}"/>
  <tableColumns count="7">
    <tableColumn id="1" xr3:uid="{A3F4D222-A543-4E50-8FC5-215D8D5274F3}" name="Category" dataDxfId="6"/>
    <tableColumn id="2" xr3:uid="{1764FA2F-6467-4283-B72A-21106DF44EA2}" name="Client-Specific Question" dataDxfId="5"/>
    <tableColumn id="3" xr3:uid="{44AE251D-0393-4D17-AF9A-AE091D884821}" name="User Priority" dataDxfId="1"/>
    <tableColumn id="4" xr3:uid="{01705303-B046-489A-9514-FBC346C4B44F}" name="User Score" dataDxfId="4">
      <calculatedColumnFormula array="1">_xlfn.SWITCH(D2,"d",1,"c",0.75,"b",0.5,"a", 0.25)</calculatedColumnFormula>
    </tableColumn>
    <tableColumn id="5" xr3:uid="{7E19D437-3C96-4EAC-8FEB-00D90359C53E}" name="Weight Priority_x000a_Low - 1 High - 5" dataDxfId="0"/>
    <tableColumn id="6" xr3:uid="{BA6D474F-C865-4D2D-B02A-EE09FE49C122}" name="Client Target Scores" dataDxfId="3">
      <calculatedColumnFormula>AVERAGEIF(B$2:$B$66, B2, $E$2:$E$66)</calculatedColumnFormula>
    </tableColumn>
    <tableColumn id="7" xr3:uid="{79E3DFE1-4A71-4D04-8894-1E8B4E59AF28}" name="Normalized Weight" dataDxfId="2">
      <calculatedColumnFormula>SUMIF($B$2:$B$66, B2, $F$2:$F$66) / SUM(F$2:$F$66)</calculatedColumnFormula>
    </tableColumn>
  </tableColumns>
  <tableStyleInfo name="TableStyleDark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DD5FCE-25B2-428C-9CD0-527F85DB3CDA}" name="Table3" displayName="Table3" ref="A1:O28" totalsRowShown="0" headerRowDxfId="34">
  <autoFilter ref="A1:O28" xr:uid="{F2DD5FCE-25B2-428C-9CD0-527F85DB3CDA}"/>
  <tableColumns count="15">
    <tableColumn id="1" xr3:uid="{984E4A1A-DE71-4FB2-BB0C-A5FE0359D57C}" name="Category"/>
    <tableColumn id="2" xr3:uid="{74B6E062-BD4A-4156-8B64-580BA609B3B0}" name="Client Target Scores"/>
    <tableColumn id="3" xr3:uid="{92808899-4365-4824-87E0-9B38B42C1F4C}" name="Normalized Weight"/>
    <tableColumn id="4" xr3:uid="{164F1FDC-E0F3-4F84-A8F1-D263C0107F03}" name="AWS "/>
    <tableColumn id="5" xr3:uid="{728447A3-F29D-47B7-93DD-95E6B81A5817}" name="AWS Fit"/>
    <tableColumn id="6" xr3:uid="{99338F90-C857-4D7F-8DA5-108AA70A90DF}" name="Azure"/>
    <tableColumn id="7" xr3:uid="{DBF9F93F-43BC-448F-89F5-F401B85CA189}" name="Azure Fit"/>
    <tableColumn id="8" xr3:uid="{72BCBE19-C974-4A2F-AD89-0C4F42D30EEF}" name="GCP"/>
    <tableColumn id="9" xr3:uid="{F38CAB06-DE8F-47D9-9F31-73A6404AC402}" name="GCP Fit"/>
    <tableColumn id="10" xr3:uid="{4C5B4248-FFED-41AB-8FB4-2E4E47CA8AAB}" name="OCI"/>
    <tableColumn id="11" xr3:uid="{F845D648-0783-438E-89EE-06A0D76D092A}" name="OCI Fit"/>
    <tableColumn id="12" xr3:uid="{3146338D-2003-4E82-AFEE-3C5C1AAFB38D}" name="IBM"/>
    <tableColumn id="13" xr3:uid="{40CB3476-BDED-4DAF-B496-26673B2BA74B}" name="IBM Fit"/>
    <tableColumn id="14" xr3:uid="{243B4C20-8289-4D0F-AFB1-9612ABE5A718}" name="Alibaba"/>
    <tableColumn id="15" xr3:uid="{AEEE8947-A171-4894-B634-3DB6B8095C3F}" name="Alibaba Fit"/>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4E66-2699-40DB-82A4-9EFD834BC6BA}">
  <sheetPr codeName="Sheet1"/>
  <dimension ref="A1:V9"/>
  <sheetViews>
    <sheetView workbookViewId="0">
      <selection activeCell="B4" sqref="B4"/>
    </sheetView>
  </sheetViews>
  <sheetFormatPr defaultRowHeight="14.4" x14ac:dyDescent="0.3"/>
  <cols>
    <col min="1" max="1" width="42.88671875" customWidth="1"/>
    <col min="2" max="2" width="51.44140625" customWidth="1"/>
    <col min="3" max="3" width="45.109375" customWidth="1"/>
    <col min="4" max="4" width="38.77734375" customWidth="1"/>
    <col min="5" max="5" width="31" customWidth="1"/>
    <col min="6" max="6" width="34.109375" customWidth="1"/>
    <col min="7" max="7" width="57.109375" customWidth="1"/>
    <col min="8" max="8" width="29.21875" customWidth="1"/>
    <col min="9" max="9" width="57.109375" customWidth="1"/>
    <col min="10" max="10" width="44.33203125" customWidth="1"/>
    <col min="11" max="11" width="36.77734375" customWidth="1"/>
    <col min="12" max="12" width="38.109375" customWidth="1"/>
    <col min="13" max="13" width="44.6640625" customWidth="1"/>
    <col min="14" max="14" width="45.33203125" customWidth="1"/>
    <col min="15" max="15" width="38.6640625" customWidth="1"/>
    <col min="16" max="16" width="58.88671875" customWidth="1"/>
    <col min="17" max="17" width="37.33203125" customWidth="1"/>
    <col min="18" max="18" width="39.33203125" customWidth="1"/>
    <col min="19" max="19" width="37.44140625" customWidth="1"/>
    <col min="20" max="20" width="34.33203125" customWidth="1"/>
    <col min="21" max="21" width="41.88671875" customWidth="1"/>
    <col min="22" max="22" width="47.77734375" customWidth="1"/>
  </cols>
  <sheetData>
    <row r="1" spans="1:22" ht="63.6" thickBot="1" x14ac:dyDescent="0.35">
      <c r="A1" s="7" t="s">
        <v>22</v>
      </c>
      <c r="B1" s="7" t="s">
        <v>0</v>
      </c>
      <c r="C1" s="7" t="s">
        <v>1</v>
      </c>
      <c r="D1" s="7" t="s">
        <v>2</v>
      </c>
      <c r="E1" s="7" t="s">
        <v>3</v>
      </c>
      <c r="F1" s="7" t="s">
        <v>4</v>
      </c>
      <c r="G1" s="7" t="s">
        <v>5</v>
      </c>
      <c r="H1" s="7" t="s">
        <v>6</v>
      </c>
      <c r="I1" s="7" t="s">
        <v>7</v>
      </c>
      <c r="J1" s="7" t="s">
        <v>8</v>
      </c>
      <c r="K1" s="7" t="s">
        <v>9</v>
      </c>
      <c r="L1" s="7" t="s">
        <v>10</v>
      </c>
      <c r="M1" s="7" t="s">
        <v>11</v>
      </c>
      <c r="N1" s="7" t="s">
        <v>12</v>
      </c>
      <c r="O1" s="7" t="s">
        <v>13</v>
      </c>
      <c r="P1" s="7" t="s">
        <v>14</v>
      </c>
      <c r="Q1" s="7" t="s">
        <v>15</v>
      </c>
      <c r="R1" s="7" t="s">
        <v>16</v>
      </c>
      <c r="S1" s="7" t="s">
        <v>17</v>
      </c>
      <c r="T1" s="7" t="s">
        <v>18</v>
      </c>
      <c r="U1" s="7" t="s">
        <v>19</v>
      </c>
      <c r="V1" s="7" t="s">
        <v>20</v>
      </c>
    </row>
    <row r="2" spans="1:22" ht="18.600000000000001" thickBot="1" x14ac:dyDescent="0.35">
      <c r="A2" s="2" t="s">
        <v>21</v>
      </c>
      <c r="B2" s="5">
        <v>1</v>
      </c>
      <c r="C2" s="5">
        <v>0.7</v>
      </c>
      <c r="D2" s="5">
        <v>1</v>
      </c>
      <c r="E2" s="5">
        <v>1</v>
      </c>
      <c r="F2" s="5">
        <v>0.8</v>
      </c>
      <c r="G2" s="5">
        <v>0.7</v>
      </c>
      <c r="H2" s="5">
        <v>1</v>
      </c>
      <c r="I2" s="5">
        <v>1</v>
      </c>
      <c r="J2" s="5">
        <v>1</v>
      </c>
      <c r="K2" s="5">
        <v>1</v>
      </c>
      <c r="L2" s="5">
        <v>0.5</v>
      </c>
      <c r="M2" s="5">
        <v>0.9</v>
      </c>
      <c r="N2" s="5">
        <v>0.8</v>
      </c>
      <c r="O2" s="5">
        <v>0.9</v>
      </c>
      <c r="P2" s="5">
        <v>0.8</v>
      </c>
      <c r="Q2" s="5">
        <v>0.6</v>
      </c>
      <c r="R2" s="5">
        <v>0.9</v>
      </c>
      <c r="S2" s="5">
        <v>1</v>
      </c>
      <c r="T2" s="5">
        <v>1</v>
      </c>
      <c r="U2" s="5">
        <v>0.8</v>
      </c>
      <c r="V2" s="5">
        <v>1</v>
      </c>
    </row>
    <row r="3" spans="1:22" ht="18.600000000000001" thickBot="1" x14ac:dyDescent="0.35">
      <c r="A3" s="2" t="s">
        <v>112</v>
      </c>
      <c r="B3" s="5">
        <v>0.9</v>
      </c>
      <c r="C3" s="5">
        <v>0.8</v>
      </c>
      <c r="D3" s="5">
        <v>1</v>
      </c>
      <c r="E3" s="5">
        <v>1</v>
      </c>
      <c r="F3" s="5">
        <v>1</v>
      </c>
      <c r="G3" s="5">
        <v>1</v>
      </c>
      <c r="H3" s="5">
        <v>0.9</v>
      </c>
      <c r="I3" s="5">
        <v>0.9</v>
      </c>
      <c r="J3" s="5">
        <v>0.9</v>
      </c>
      <c r="K3" s="5">
        <v>0.9</v>
      </c>
      <c r="L3" s="5">
        <v>0.6</v>
      </c>
      <c r="M3" s="5">
        <v>0.9</v>
      </c>
      <c r="N3" s="5">
        <v>0.8</v>
      </c>
      <c r="O3" s="5">
        <v>0.9</v>
      </c>
      <c r="P3" s="5">
        <v>0.9</v>
      </c>
      <c r="Q3" s="5">
        <v>0.7</v>
      </c>
      <c r="R3" s="5">
        <v>0.9</v>
      </c>
      <c r="S3" s="5">
        <v>0.9</v>
      </c>
      <c r="T3" s="5">
        <v>0.9</v>
      </c>
      <c r="U3" s="5">
        <v>0.9</v>
      </c>
      <c r="V3" s="5">
        <v>0.9</v>
      </c>
    </row>
    <row r="4" spans="1:22" ht="18.600000000000001" thickBot="1" x14ac:dyDescent="0.35">
      <c r="A4" s="2" t="s">
        <v>113</v>
      </c>
      <c r="B4" s="5">
        <v>0.8</v>
      </c>
      <c r="C4" s="5">
        <v>0.9</v>
      </c>
      <c r="D4" s="5">
        <v>0.8</v>
      </c>
      <c r="E4" s="5">
        <v>0.9</v>
      </c>
      <c r="F4" s="5">
        <v>0.8</v>
      </c>
      <c r="G4" s="5">
        <v>0.8</v>
      </c>
      <c r="H4" s="5">
        <v>1</v>
      </c>
      <c r="I4" s="5">
        <v>1</v>
      </c>
      <c r="J4" s="5">
        <v>0.9</v>
      </c>
      <c r="K4" s="5">
        <v>0.9</v>
      </c>
      <c r="L4" s="5">
        <v>0.8</v>
      </c>
      <c r="M4" s="5">
        <v>0.8</v>
      </c>
      <c r="N4" s="5">
        <v>0.9</v>
      </c>
      <c r="O4" s="5">
        <v>0.8</v>
      </c>
      <c r="P4" s="5">
        <v>0.8</v>
      </c>
      <c r="Q4" s="5">
        <v>0.8</v>
      </c>
      <c r="R4" s="5">
        <v>0.9</v>
      </c>
      <c r="S4" s="5">
        <v>1</v>
      </c>
      <c r="T4" s="5">
        <v>1</v>
      </c>
      <c r="U4" s="5">
        <v>0.8</v>
      </c>
      <c r="V4" s="5">
        <v>0.8</v>
      </c>
    </row>
    <row r="5" spans="1:22" ht="18.600000000000001" thickBot="1" x14ac:dyDescent="0.35">
      <c r="A5" s="2" t="s">
        <v>114</v>
      </c>
      <c r="B5" s="5">
        <v>0.6</v>
      </c>
      <c r="C5" s="5">
        <v>1</v>
      </c>
      <c r="D5" s="5">
        <v>0.7</v>
      </c>
      <c r="E5" s="5">
        <v>0.9</v>
      </c>
      <c r="F5" s="5">
        <v>0.7</v>
      </c>
      <c r="G5" s="5">
        <v>0.9</v>
      </c>
      <c r="H5" s="5">
        <v>0.7</v>
      </c>
      <c r="I5" s="5">
        <v>0.9</v>
      </c>
      <c r="J5" s="5">
        <v>0.9</v>
      </c>
      <c r="K5" s="5">
        <v>0.8</v>
      </c>
      <c r="L5" s="5">
        <v>0.7</v>
      </c>
      <c r="M5" s="5">
        <v>0.7</v>
      </c>
      <c r="N5" s="5">
        <v>0.8</v>
      </c>
      <c r="O5" s="5">
        <v>1</v>
      </c>
      <c r="P5" s="5">
        <v>1</v>
      </c>
      <c r="Q5" s="5">
        <v>0.9</v>
      </c>
      <c r="R5" s="5">
        <v>0.8</v>
      </c>
      <c r="S5" s="5">
        <v>0.7</v>
      </c>
      <c r="T5" s="5">
        <v>0.7</v>
      </c>
      <c r="U5" s="5">
        <v>0.8</v>
      </c>
      <c r="V5" s="5">
        <v>0.6</v>
      </c>
    </row>
    <row r="6" spans="1:22" ht="18.600000000000001" thickBot="1" x14ac:dyDescent="0.35">
      <c r="A6" s="2" t="s">
        <v>115</v>
      </c>
      <c r="B6" s="5">
        <v>0.5</v>
      </c>
      <c r="C6" s="5">
        <v>0.7</v>
      </c>
      <c r="D6" s="5">
        <v>0.7</v>
      </c>
      <c r="E6" s="5">
        <v>1</v>
      </c>
      <c r="F6" s="5">
        <v>0.9</v>
      </c>
      <c r="G6" s="5">
        <v>0.8</v>
      </c>
      <c r="H6" s="5">
        <v>0.7</v>
      </c>
      <c r="I6" s="5">
        <v>0.7</v>
      </c>
      <c r="J6" s="5">
        <v>0.7</v>
      </c>
      <c r="K6" s="5">
        <v>0.8</v>
      </c>
      <c r="L6" s="5">
        <v>0.7</v>
      </c>
      <c r="M6" s="5">
        <v>0.7</v>
      </c>
      <c r="N6" s="5">
        <v>0.7</v>
      </c>
      <c r="O6" s="5">
        <v>0.7</v>
      </c>
      <c r="P6" s="5">
        <v>0.8</v>
      </c>
      <c r="Q6" s="5">
        <v>0.7</v>
      </c>
      <c r="R6" s="5">
        <v>0.8</v>
      </c>
      <c r="S6" s="5">
        <v>0.6</v>
      </c>
      <c r="T6" s="5">
        <v>0.7</v>
      </c>
      <c r="U6" s="5">
        <v>0.9</v>
      </c>
      <c r="V6" s="5">
        <v>0.6</v>
      </c>
    </row>
    <row r="7" spans="1:22" ht="18" x14ac:dyDescent="0.3">
      <c r="A7" s="4" t="s">
        <v>116</v>
      </c>
      <c r="B7" s="6">
        <v>0.6</v>
      </c>
      <c r="C7" s="6">
        <v>0.8</v>
      </c>
      <c r="D7" s="6">
        <v>0.8</v>
      </c>
      <c r="E7" s="6">
        <v>0.7</v>
      </c>
      <c r="F7" s="6">
        <v>0.7</v>
      </c>
      <c r="G7" s="6">
        <v>0.7</v>
      </c>
      <c r="H7" s="6">
        <v>0.7</v>
      </c>
      <c r="I7" s="6">
        <v>0.8</v>
      </c>
      <c r="J7" s="6">
        <v>0.8</v>
      </c>
      <c r="K7" s="6">
        <v>0.8</v>
      </c>
      <c r="L7" s="6">
        <v>0.5</v>
      </c>
      <c r="M7" s="6">
        <v>0.7</v>
      </c>
      <c r="N7" s="6">
        <v>0.7</v>
      </c>
      <c r="O7" s="6">
        <v>0.8</v>
      </c>
      <c r="P7" s="6">
        <v>0.7</v>
      </c>
      <c r="Q7" s="6">
        <v>0.8</v>
      </c>
      <c r="R7" s="6">
        <v>0.7</v>
      </c>
      <c r="S7" s="6">
        <v>0.7</v>
      </c>
      <c r="T7" s="6">
        <v>0.8</v>
      </c>
      <c r="U7" s="6">
        <v>0.7</v>
      </c>
      <c r="V7" s="6">
        <v>0.6</v>
      </c>
    </row>
    <row r="9" spans="1:22" ht="15.6" x14ac:dyDescent="0.3">
      <c r="A9" s="33" t="s">
        <v>121</v>
      </c>
    </row>
  </sheetData>
  <sheetProtection algorithmName="SHA-512" hashValue="NbNlT2NyyVwRrTYF+vwGj8JW2AUL9QNnhAXkyeiZDQ8ji8usjIsavpIkUvK0Cq/hxeO2EeFDwBEZ5PkLnnQeUQ==" saltValue="ybqQ/Z9WswSnhdrL6sCo8Q=="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B61C-878D-4488-97B7-451CC195EEF8}">
  <sheetPr codeName="Sheet2"/>
  <dimension ref="A1:I68"/>
  <sheetViews>
    <sheetView topLeftCell="A66" workbookViewId="0">
      <selection activeCell="B68" sqref="B68"/>
    </sheetView>
  </sheetViews>
  <sheetFormatPr defaultRowHeight="14.4" x14ac:dyDescent="0.3"/>
  <cols>
    <col min="1" max="1" width="6.44140625" customWidth="1"/>
    <col min="2" max="2" width="48.77734375" customWidth="1"/>
    <col min="3" max="3" width="69.88671875" customWidth="1"/>
    <col min="4" max="4" width="19.5546875" customWidth="1"/>
    <col min="5" max="5" width="16.44140625" customWidth="1"/>
    <col min="6" max="6" width="23.88671875" customWidth="1"/>
    <col min="7" max="7" width="33.33203125" customWidth="1"/>
    <col min="8" max="8" width="27.109375" customWidth="1"/>
  </cols>
  <sheetData>
    <row r="1" spans="1:9" ht="45.6" customHeight="1" thickBot="1" x14ac:dyDescent="0.35">
      <c r="A1" s="7" t="s">
        <v>23</v>
      </c>
      <c r="B1" s="7" t="s">
        <v>24</v>
      </c>
      <c r="C1" s="7" t="s">
        <v>25</v>
      </c>
      <c r="D1" s="7" t="s">
        <v>100</v>
      </c>
      <c r="E1" s="7" t="s">
        <v>102</v>
      </c>
      <c r="F1" s="7" t="s">
        <v>103</v>
      </c>
      <c r="G1" s="7" t="s">
        <v>104</v>
      </c>
      <c r="H1" s="18" t="s">
        <v>107</v>
      </c>
    </row>
    <row r="2" spans="1:9" ht="108" customHeight="1" thickBot="1" x14ac:dyDescent="0.35">
      <c r="A2" s="9">
        <v>1</v>
      </c>
      <c r="B2" s="10" t="s">
        <v>0</v>
      </c>
      <c r="C2" s="14" t="s">
        <v>35</v>
      </c>
      <c r="D2" s="34" t="s">
        <v>106</v>
      </c>
      <c r="E2" s="27" cm="1">
        <f t="array" ref="E2">_xlfn.SWITCH(D2,"d",1,"c",0.75,"b",0.5,"a", 0.25)</f>
        <v>0.75</v>
      </c>
      <c r="F2" s="34">
        <v>4</v>
      </c>
      <c r="G2" s="28">
        <f>AVERAGEIF(B$2:$B$66, B2, $E$2:$E$66)</f>
        <v>0.58333333333333337</v>
      </c>
      <c r="H2" s="29">
        <f>SUMIF($B$2:$B$66, B2, $F$2:$F$66) / SUM(F$2:$F$66)</f>
        <v>5.1643192488262914E-2</v>
      </c>
      <c r="I2" s="8"/>
    </row>
    <row r="3" spans="1:9" ht="94.2" thickBot="1" x14ac:dyDescent="0.35">
      <c r="A3" s="9">
        <v>2</v>
      </c>
      <c r="B3" s="10" t="s">
        <v>0</v>
      </c>
      <c r="C3" s="14" t="s">
        <v>36</v>
      </c>
      <c r="D3" s="34" t="s">
        <v>101</v>
      </c>
      <c r="E3" s="27" cm="1">
        <f t="array" ref="E3">_xlfn.SWITCH(D3,"d",1,"c",0.75,"b",0.5,"a", 0.25)</f>
        <v>0.5</v>
      </c>
      <c r="F3" s="34">
        <v>4</v>
      </c>
      <c r="G3" s="28">
        <f>AVERAGEIF(B$2:$B$66, B3, $E$2:$E$66)</f>
        <v>0.58333333333333337</v>
      </c>
      <c r="H3" s="29">
        <f>SUMIF($B$2:$B$66, B3, $F$2:$F$66) / SUM(F$2:$F$66)</f>
        <v>5.1643192488262914E-2</v>
      </c>
      <c r="I3" s="8"/>
    </row>
    <row r="4" spans="1:9" ht="94.2" thickBot="1" x14ac:dyDescent="0.35">
      <c r="A4" s="9">
        <v>3</v>
      </c>
      <c r="B4" s="10" t="s">
        <v>1</v>
      </c>
      <c r="C4" s="14" t="s">
        <v>37</v>
      </c>
      <c r="D4" s="34" t="s">
        <v>105</v>
      </c>
      <c r="E4" s="27" cm="1">
        <f t="array" ref="E4">_xlfn.SWITCH(D4,"d",1,"c",0.75,"b",0.5,"a", 0.25)</f>
        <v>1</v>
      </c>
      <c r="F4" s="34">
        <v>3</v>
      </c>
      <c r="G4" s="28">
        <f>AVERAGEIF(B$2:$B$66, B4, $E$2:$E$66)</f>
        <v>0.66666666666666663</v>
      </c>
      <c r="H4" s="29">
        <f>SUMIF($B$2:$B$66, B4, $F$2:$F$66) / SUM(F$2:$F$66)</f>
        <v>5.1643192488262914E-2</v>
      </c>
      <c r="I4" s="8"/>
    </row>
    <row r="5" spans="1:9" ht="94.2" thickBot="1" x14ac:dyDescent="0.35">
      <c r="A5" s="9">
        <v>4</v>
      </c>
      <c r="B5" s="10" t="s">
        <v>1</v>
      </c>
      <c r="C5" s="14" t="s">
        <v>38</v>
      </c>
      <c r="D5" s="34" t="s">
        <v>101</v>
      </c>
      <c r="E5" s="27" cm="1">
        <f t="array" ref="E5">_xlfn.SWITCH(D5,"d",1,"c",0.75,"b",0.5,"a", 0.25)</f>
        <v>0.5</v>
      </c>
      <c r="F5" s="34">
        <v>3</v>
      </c>
      <c r="G5" s="28">
        <f>AVERAGEIF(B$2:$B$66, B5, $E$2:$E$66)</f>
        <v>0.66666666666666663</v>
      </c>
      <c r="H5" s="29">
        <f>SUMIF($B$2:$B$66, B5, $F$2:$F$66) / SUM(F$2:$F$66)</f>
        <v>5.1643192488262914E-2</v>
      </c>
      <c r="I5" s="8"/>
    </row>
    <row r="6" spans="1:9" ht="94.2" thickBot="1" x14ac:dyDescent="0.35">
      <c r="A6" s="9">
        <v>5</v>
      </c>
      <c r="B6" s="10" t="s">
        <v>2</v>
      </c>
      <c r="C6" s="14" t="s">
        <v>39</v>
      </c>
      <c r="D6" s="34" t="s">
        <v>101</v>
      </c>
      <c r="E6" s="27" cm="1">
        <f t="array" ref="E6">_xlfn.SWITCH(D6,"d",1,"c",0.75,"b",0.5,"a", 0.25)</f>
        <v>0.5</v>
      </c>
      <c r="F6" s="34">
        <v>4</v>
      </c>
      <c r="G6" s="28">
        <f>AVERAGEIF(B$2:$B$66, B6, $E$2:$E$66)</f>
        <v>0.5</v>
      </c>
      <c r="H6" s="29">
        <f>SUMIF($B$2:$B$66, B6, $F$2:$F$66) / SUM(F$2:$F$66)</f>
        <v>5.6338028169014086E-2</v>
      </c>
      <c r="I6" s="8"/>
    </row>
    <row r="7" spans="1:9" ht="105.6" customHeight="1" thickBot="1" x14ac:dyDescent="0.35">
      <c r="A7" s="9">
        <v>6</v>
      </c>
      <c r="B7" s="10" t="s">
        <v>2</v>
      </c>
      <c r="C7" s="14" t="s">
        <v>40</v>
      </c>
      <c r="D7" s="34" t="s">
        <v>101</v>
      </c>
      <c r="E7" s="27" cm="1">
        <f t="array" ref="E7">_xlfn.SWITCH(D7,"d",1,"c",0.75,"b",0.5,"a", 0.25)</f>
        <v>0.5</v>
      </c>
      <c r="F7" s="34">
        <v>5</v>
      </c>
      <c r="G7" s="28">
        <f>AVERAGEIF(B$2:$B$66, B7, $E$2:$E$66)</f>
        <v>0.5</v>
      </c>
      <c r="H7" s="29">
        <f>SUMIF($B$2:$B$66, B7, $F$2:$F$66) / SUM(F$2:$F$66)</f>
        <v>5.6338028169014086E-2</v>
      </c>
      <c r="I7" s="8"/>
    </row>
    <row r="8" spans="1:9" ht="94.2" thickBot="1" x14ac:dyDescent="0.35">
      <c r="A8" s="9">
        <v>7</v>
      </c>
      <c r="B8" s="10" t="s">
        <v>3</v>
      </c>
      <c r="C8" s="14" t="s">
        <v>41</v>
      </c>
      <c r="D8" s="34" t="s">
        <v>101</v>
      </c>
      <c r="E8" s="27" cm="1">
        <f t="array" ref="E8">_xlfn.SWITCH(D8,"d",1,"c",0.75,"b",0.5,"a", 0.25)</f>
        <v>0.5</v>
      </c>
      <c r="F8" s="34">
        <v>3</v>
      </c>
      <c r="G8" s="28">
        <f>AVERAGEIF(B$2:$B$66, B8, $E$2:$E$66)</f>
        <v>0.66666666666666663</v>
      </c>
      <c r="H8" s="29">
        <f>SUMIF($B$2:$B$66, B8, $F$2:$F$66) / SUM(F$2:$F$66)</f>
        <v>4.2253521126760563E-2</v>
      </c>
      <c r="I8" s="8"/>
    </row>
    <row r="9" spans="1:9" ht="94.2" thickBot="1" x14ac:dyDescent="0.35">
      <c r="A9" s="9">
        <v>8</v>
      </c>
      <c r="B9" s="10" t="s">
        <v>3</v>
      </c>
      <c r="C9" s="14" t="s">
        <v>42</v>
      </c>
      <c r="D9" s="34" t="s">
        <v>105</v>
      </c>
      <c r="E9" s="27" cm="1">
        <f t="array" ref="E9">_xlfn.SWITCH(D9,"d",1,"c",0.75,"b",0.5,"a", 0.25)</f>
        <v>1</v>
      </c>
      <c r="F9" s="34">
        <v>3</v>
      </c>
      <c r="G9" s="28">
        <f>AVERAGEIF(B$2:$B$66, B9, $E$2:$E$66)</f>
        <v>0.66666666666666663</v>
      </c>
      <c r="H9" s="29">
        <f>SUMIF($B$2:$B$66, B9, $F$2:$F$66) / SUM(F$2:$F$66)</f>
        <v>4.2253521126760563E-2</v>
      </c>
      <c r="I9" s="8"/>
    </row>
    <row r="10" spans="1:9" ht="94.2" thickBot="1" x14ac:dyDescent="0.35">
      <c r="A10" s="9">
        <v>9</v>
      </c>
      <c r="B10" s="10" t="s">
        <v>4</v>
      </c>
      <c r="C10" s="14" t="s">
        <v>43</v>
      </c>
      <c r="D10" s="34" t="s">
        <v>106</v>
      </c>
      <c r="E10" s="27" cm="1">
        <f t="array" ref="E10">_xlfn.SWITCH(D10,"d",1,"c",0.75,"b",0.5,"a", 0.25)</f>
        <v>0.75</v>
      </c>
      <c r="F10" s="34">
        <v>4</v>
      </c>
      <c r="G10" s="28">
        <f>AVERAGEIF(B$2:$B$66, B10, $E$2:$E$66)</f>
        <v>0.5</v>
      </c>
      <c r="H10" s="29">
        <f>SUMIF($B$2:$B$66, B10, $F$2:$F$66) / SUM(F$2:$F$66)</f>
        <v>3.2863849765258218E-2</v>
      </c>
      <c r="I10" s="8"/>
    </row>
    <row r="11" spans="1:9" ht="94.2" thickBot="1" x14ac:dyDescent="0.35">
      <c r="A11" s="9">
        <v>10</v>
      </c>
      <c r="B11" s="10" t="s">
        <v>4</v>
      </c>
      <c r="C11" s="14" t="s">
        <v>44</v>
      </c>
      <c r="D11" s="34" t="s">
        <v>31</v>
      </c>
      <c r="E11" s="27" cm="1">
        <f t="array" ref="E11">_xlfn.SWITCH(D11,"d",1,"c",0.75,"b",0.5,"a", 0.25)</f>
        <v>0.25</v>
      </c>
      <c r="F11" s="34">
        <v>3</v>
      </c>
      <c r="G11" s="28">
        <f>AVERAGEIF(B$2:$B$66, B11, $E$2:$E$66)</f>
        <v>0.5</v>
      </c>
      <c r="H11" s="29">
        <f>SUMIF($B$2:$B$66, B11, $F$2:$F$66) / SUM(F$2:$F$66)</f>
        <v>3.2863849765258218E-2</v>
      </c>
      <c r="I11" s="8"/>
    </row>
    <row r="12" spans="1:9" ht="94.2" thickBot="1" x14ac:dyDescent="0.35">
      <c r="A12" s="9">
        <v>11</v>
      </c>
      <c r="B12" s="10" t="s">
        <v>5</v>
      </c>
      <c r="C12" s="14" t="s">
        <v>45</v>
      </c>
      <c r="D12" s="34" t="s">
        <v>105</v>
      </c>
      <c r="E12" s="27" cm="1">
        <f t="array" ref="E12">_xlfn.SWITCH(D12,"d",1,"c",0.75,"b",0.5,"a", 0.25)</f>
        <v>1</v>
      </c>
      <c r="F12" s="34">
        <v>4</v>
      </c>
      <c r="G12" s="28">
        <f>AVERAGEIF(B$2:$B$66, B12, $E$2:$E$66)</f>
        <v>0.75</v>
      </c>
      <c r="H12" s="29">
        <f>SUMIF($B$2:$B$66, B12, $F$2:$F$66) / SUM(F$2:$F$66)</f>
        <v>4.6948356807511735E-2</v>
      </c>
      <c r="I12" s="8"/>
    </row>
    <row r="13" spans="1:9" ht="94.2" thickBot="1" x14ac:dyDescent="0.35">
      <c r="A13" s="9">
        <v>12</v>
      </c>
      <c r="B13" s="10" t="s">
        <v>5</v>
      </c>
      <c r="C13" s="14" t="s">
        <v>46</v>
      </c>
      <c r="D13" s="34" t="s">
        <v>106</v>
      </c>
      <c r="E13" s="27" cm="1">
        <f t="array" ref="E13">_xlfn.SWITCH(D13,"d",1,"c",0.75,"b",0.5,"a", 0.25)</f>
        <v>0.75</v>
      </c>
      <c r="F13" s="34">
        <v>3</v>
      </c>
      <c r="G13" s="28">
        <f>AVERAGEIF(B$2:$B$66, B13, $E$2:$E$66)</f>
        <v>0.75</v>
      </c>
      <c r="H13" s="29">
        <f>SUMIF($B$2:$B$66, B13, $F$2:$F$66) / SUM(F$2:$F$66)</f>
        <v>4.6948356807511735E-2</v>
      </c>
      <c r="I13" s="8"/>
    </row>
    <row r="14" spans="1:9" ht="94.2" thickBot="1" x14ac:dyDescent="0.35">
      <c r="A14" s="9">
        <v>13</v>
      </c>
      <c r="B14" s="10" t="s">
        <v>6</v>
      </c>
      <c r="C14" s="14" t="s">
        <v>47</v>
      </c>
      <c r="D14" s="34" t="s">
        <v>31</v>
      </c>
      <c r="E14" s="27" cm="1">
        <f t="array" ref="E14">_xlfn.SWITCH(D14,"d",1,"c",0.75,"b",0.5,"a", 0.25)</f>
        <v>0.25</v>
      </c>
      <c r="F14" s="34">
        <v>2</v>
      </c>
      <c r="G14" s="28">
        <f>AVERAGEIF(B$2:$B$66, B14, $E$2:$E$66)</f>
        <v>0.58333333333333337</v>
      </c>
      <c r="H14" s="29">
        <f>SUMIF($B$2:$B$66, B14, $F$2:$F$66) / SUM(F$2:$F$66)</f>
        <v>4.6948356807511735E-2</v>
      </c>
      <c r="I14" s="8"/>
    </row>
    <row r="15" spans="1:9" ht="94.2" thickBot="1" x14ac:dyDescent="0.35">
      <c r="A15" s="9">
        <v>14</v>
      </c>
      <c r="B15" s="10" t="s">
        <v>6</v>
      </c>
      <c r="C15" s="14" t="s">
        <v>48</v>
      </c>
      <c r="D15" s="34" t="s">
        <v>105</v>
      </c>
      <c r="E15" s="27" cm="1">
        <f t="array" ref="E15">_xlfn.SWITCH(D15,"d",1,"c",0.75,"b",0.5,"a", 0.25)</f>
        <v>1</v>
      </c>
      <c r="F15" s="34">
        <v>5</v>
      </c>
      <c r="G15" s="28">
        <f>AVERAGEIF(B$2:$B$66, B15, $E$2:$E$66)</f>
        <v>0.58333333333333337</v>
      </c>
      <c r="H15" s="29">
        <f>SUMIF($B$2:$B$66, B15, $F$2:$F$66) / SUM(F$2:$F$66)</f>
        <v>4.6948356807511735E-2</v>
      </c>
      <c r="I15" s="8"/>
    </row>
    <row r="16" spans="1:9" ht="94.2" thickBot="1" x14ac:dyDescent="0.35">
      <c r="A16" s="9">
        <v>15</v>
      </c>
      <c r="B16" s="10" t="s">
        <v>7</v>
      </c>
      <c r="C16" s="14" t="s">
        <v>49</v>
      </c>
      <c r="D16" s="34" t="s">
        <v>101</v>
      </c>
      <c r="E16" s="27" cm="1">
        <f t="array" ref="E16">_xlfn.SWITCH(D16,"d",1,"c",0.75,"b",0.5,"a", 0.25)</f>
        <v>0.5</v>
      </c>
      <c r="F16" s="34">
        <v>3</v>
      </c>
      <c r="G16" s="28">
        <f>AVERAGEIF(B$2:$B$66, B16, $E$2:$E$66)</f>
        <v>0.66666666666666663</v>
      </c>
      <c r="H16" s="29">
        <f>SUMIF($B$2:$B$66, B16, $F$2:$F$66) / SUM(F$2:$F$66)</f>
        <v>4.6948356807511735E-2</v>
      </c>
      <c r="I16" s="8"/>
    </row>
    <row r="17" spans="1:9" ht="94.2" thickBot="1" x14ac:dyDescent="0.35">
      <c r="A17" s="9">
        <v>16</v>
      </c>
      <c r="B17" s="10" t="s">
        <v>7</v>
      </c>
      <c r="C17" s="14" t="s">
        <v>50</v>
      </c>
      <c r="D17" s="34" t="s">
        <v>105</v>
      </c>
      <c r="E17" s="27" cm="1">
        <f t="array" ref="E17">_xlfn.SWITCH(D17,"d",1,"c",0.75,"b",0.5,"a", 0.25)</f>
        <v>1</v>
      </c>
      <c r="F17" s="34">
        <v>4</v>
      </c>
      <c r="G17" s="28">
        <f>AVERAGEIF(B$2:$B$66, B17, $E$2:$E$66)</f>
        <v>0.66666666666666663</v>
      </c>
      <c r="H17" s="29">
        <f>SUMIF($B$2:$B$66, B17, $F$2:$F$66) / SUM(F$2:$F$66)</f>
        <v>4.6948356807511735E-2</v>
      </c>
      <c r="I17" s="8"/>
    </row>
    <row r="18" spans="1:9" ht="94.2" thickBot="1" x14ac:dyDescent="0.35">
      <c r="A18" s="9">
        <v>17</v>
      </c>
      <c r="B18" s="10" t="s">
        <v>8</v>
      </c>
      <c r="C18" s="14" t="s">
        <v>51</v>
      </c>
      <c r="D18" s="34" t="s">
        <v>105</v>
      </c>
      <c r="E18" s="27" cm="1">
        <f t="array" ref="E18">_xlfn.SWITCH(D18,"d",1,"c",0.75,"b",0.5,"a", 0.25)</f>
        <v>1</v>
      </c>
      <c r="F18" s="34">
        <v>1</v>
      </c>
      <c r="G18" s="28">
        <f>AVERAGEIF(B$2:$B$66, B18, $E$2:$E$66)</f>
        <v>0.83333333333333337</v>
      </c>
      <c r="H18" s="29">
        <f>SUMIF($B$2:$B$66, B18, $F$2:$F$66) / SUM(F$2:$F$66)</f>
        <v>3.7558685446009391E-2</v>
      </c>
      <c r="I18" s="8"/>
    </row>
    <row r="19" spans="1:9" ht="94.2" thickBot="1" x14ac:dyDescent="0.35">
      <c r="A19" s="9">
        <v>18</v>
      </c>
      <c r="B19" s="10" t="s">
        <v>8</v>
      </c>
      <c r="C19" s="14" t="s">
        <v>52</v>
      </c>
      <c r="D19" s="34" t="s">
        <v>105</v>
      </c>
      <c r="E19" s="27" cm="1">
        <f t="array" ref="E19">_xlfn.SWITCH(D19,"d",1,"c",0.75,"b",0.5,"a", 0.25)</f>
        <v>1</v>
      </c>
      <c r="F19" s="34">
        <v>4</v>
      </c>
      <c r="G19" s="28">
        <f>AVERAGEIF(B$2:$B$66, B19, $E$2:$E$66)</f>
        <v>0.83333333333333337</v>
      </c>
      <c r="H19" s="29">
        <f>SUMIF($B$2:$B$66, B19, $F$2:$F$66) / SUM(F$2:$F$66)</f>
        <v>3.7558685446009391E-2</v>
      </c>
      <c r="I19" s="8"/>
    </row>
    <row r="20" spans="1:9" ht="94.2" thickBot="1" x14ac:dyDescent="0.35">
      <c r="A20" s="9">
        <v>19</v>
      </c>
      <c r="B20" s="10" t="s">
        <v>9</v>
      </c>
      <c r="C20" s="14" t="s">
        <v>53</v>
      </c>
      <c r="D20" s="34" t="s">
        <v>101</v>
      </c>
      <c r="E20" s="27" cm="1">
        <f t="array" ref="E20">_xlfn.SWITCH(D20,"d",1,"c",0.75,"b",0.5,"a", 0.25)</f>
        <v>0.5</v>
      </c>
      <c r="F20" s="34">
        <v>2</v>
      </c>
      <c r="G20" s="28">
        <f>AVERAGEIF(B$2:$B$66, B20, $E$2:$E$66)</f>
        <v>0.58333333333333337</v>
      </c>
      <c r="H20" s="29">
        <f>SUMIF($B$2:$B$66, B20, $F$2:$F$66) / SUM(F$2:$F$66)</f>
        <v>4.6948356807511735E-2</v>
      </c>
      <c r="I20" s="8"/>
    </row>
    <row r="21" spans="1:9" ht="94.2" thickBot="1" x14ac:dyDescent="0.35">
      <c r="A21" s="9">
        <v>20</v>
      </c>
      <c r="B21" s="10" t="s">
        <v>9</v>
      </c>
      <c r="C21" s="14" t="s">
        <v>54</v>
      </c>
      <c r="D21" s="34" t="s">
        <v>106</v>
      </c>
      <c r="E21" s="27" cm="1">
        <f t="array" ref="E21">_xlfn.SWITCH(D21,"d",1,"c",0.75,"b",0.5,"a", 0.25)</f>
        <v>0.75</v>
      </c>
      <c r="F21" s="34">
        <v>5</v>
      </c>
      <c r="G21" s="28">
        <f>AVERAGEIF(B$2:$B$66, B21, $E$2:$E$66)</f>
        <v>0.58333333333333337</v>
      </c>
      <c r="H21" s="29">
        <f>SUMIF($B$2:$B$66, B21, $F$2:$F$66) / SUM(F$2:$F$66)</f>
        <v>4.6948356807511735E-2</v>
      </c>
      <c r="I21" s="8"/>
    </row>
    <row r="22" spans="1:9" ht="94.2" thickBot="1" x14ac:dyDescent="0.35">
      <c r="A22" s="9">
        <v>21</v>
      </c>
      <c r="B22" s="10" t="s">
        <v>10</v>
      </c>
      <c r="C22" s="14" t="s">
        <v>55</v>
      </c>
      <c r="D22" s="34" t="s">
        <v>101</v>
      </c>
      <c r="E22" s="27" cm="1">
        <f t="array" ref="E22">_xlfn.SWITCH(D22,"d",1,"c",0.75,"b",0.5,"a", 0.25)</f>
        <v>0.5</v>
      </c>
      <c r="F22" s="34">
        <v>5</v>
      </c>
      <c r="G22" s="28">
        <f>AVERAGEIF(B$2:$B$66, B22, $E$2:$E$66)</f>
        <v>0.5</v>
      </c>
      <c r="H22" s="29">
        <f>SUMIF($B$2:$B$66, B22, $F$2:$F$66) / SUM(F$2:$F$66)</f>
        <v>6.1032863849765258E-2</v>
      </c>
      <c r="I22" s="8"/>
    </row>
    <row r="23" spans="1:9" ht="94.2" thickBot="1" x14ac:dyDescent="0.35">
      <c r="A23" s="9">
        <v>22</v>
      </c>
      <c r="B23" s="10" t="s">
        <v>10</v>
      </c>
      <c r="C23" s="14" t="s">
        <v>56</v>
      </c>
      <c r="D23" s="34" t="s">
        <v>101</v>
      </c>
      <c r="E23" s="27" cm="1">
        <f t="array" ref="E23">_xlfn.SWITCH(D23,"d",1,"c",0.75,"b",0.5,"a", 0.25)</f>
        <v>0.5</v>
      </c>
      <c r="F23" s="34">
        <v>3</v>
      </c>
      <c r="G23" s="28">
        <f>AVERAGEIF(B$2:$B$66, B23, $E$2:$E$66)</f>
        <v>0.5</v>
      </c>
      <c r="H23" s="29">
        <f>SUMIF($B$2:$B$66, B23, $F$2:$F$66) / SUM(F$2:$F$66)</f>
        <v>6.1032863849765258E-2</v>
      </c>
      <c r="I23" s="8"/>
    </row>
    <row r="24" spans="1:9" ht="94.2" thickBot="1" x14ac:dyDescent="0.35">
      <c r="A24" s="9">
        <v>23</v>
      </c>
      <c r="B24" s="10" t="s">
        <v>11</v>
      </c>
      <c r="C24" s="14" t="s">
        <v>57</v>
      </c>
      <c r="D24" s="34" t="s">
        <v>105</v>
      </c>
      <c r="E24" s="27" cm="1">
        <f t="array" ref="E24">_xlfn.SWITCH(D24,"d",1,"c",0.75,"b",0.5,"a", 0.25)</f>
        <v>1</v>
      </c>
      <c r="F24" s="34">
        <v>4</v>
      </c>
      <c r="G24" s="28">
        <f>AVERAGEIF(B$2:$B$66, B24, $E$2:$E$66)</f>
        <v>1</v>
      </c>
      <c r="H24" s="29">
        <f>SUMIF($B$2:$B$66, B24, $F$2:$F$66) / SUM(F$2:$F$66)</f>
        <v>3.7558685446009391E-2</v>
      </c>
      <c r="I24" s="8"/>
    </row>
    <row r="25" spans="1:9" ht="94.2" thickBot="1" x14ac:dyDescent="0.35">
      <c r="A25" s="9">
        <v>24</v>
      </c>
      <c r="B25" s="10" t="s">
        <v>11</v>
      </c>
      <c r="C25" s="14" t="s">
        <v>58</v>
      </c>
      <c r="D25" s="34" t="s">
        <v>105</v>
      </c>
      <c r="E25" s="27" cm="1">
        <f t="array" ref="E25">_xlfn.SWITCH(D25,"d",1,"c",0.75,"b",0.5,"a", 0.25)</f>
        <v>1</v>
      </c>
      <c r="F25" s="34">
        <v>4</v>
      </c>
      <c r="G25" s="28">
        <f>AVERAGEIF(B$2:$B$66, B25, $E$2:$E$66)</f>
        <v>1</v>
      </c>
      <c r="H25" s="29">
        <f>SUMIF($B$2:$B$66, B25, $F$2:$F$66) / SUM(F$2:$F$66)</f>
        <v>3.7558685446009391E-2</v>
      </c>
      <c r="I25" s="8"/>
    </row>
    <row r="26" spans="1:9" ht="94.2" thickBot="1" x14ac:dyDescent="0.35">
      <c r="A26" s="9">
        <v>25</v>
      </c>
      <c r="B26" s="10" t="s">
        <v>12</v>
      </c>
      <c r="C26" s="14" t="s">
        <v>59</v>
      </c>
      <c r="D26" s="34" t="s">
        <v>105</v>
      </c>
      <c r="E26" s="27" cm="1">
        <f t="array" ref="E26">_xlfn.SWITCH(D26,"d",1,"c",0.75,"b",0.5,"a", 0.25)</f>
        <v>1</v>
      </c>
      <c r="F26" s="34">
        <v>5</v>
      </c>
      <c r="G26" s="28">
        <f>AVERAGEIF(B$2:$B$66, B26, $E$2:$E$66)</f>
        <v>1</v>
      </c>
      <c r="H26" s="29">
        <f>SUMIF($B$2:$B$66, B26, $F$2:$F$66) / SUM(F$2:$F$66)</f>
        <v>3.2863849765258218E-2</v>
      </c>
      <c r="I26" s="8"/>
    </row>
    <row r="27" spans="1:9" ht="94.2" thickBot="1" x14ac:dyDescent="0.35">
      <c r="A27" s="9">
        <v>26</v>
      </c>
      <c r="B27" s="10" t="s">
        <v>12</v>
      </c>
      <c r="C27" s="14" t="s">
        <v>60</v>
      </c>
      <c r="D27" s="34" t="s">
        <v>105</v>
      </c>
      <c r="E27" s="27" cm="1">
        <f t="array" ref="E27">_xlfn.SWITCH(D27,"d",1,"c",0.75,"b",0.5,"a", 0.25)</f>
        <v>1</v>
      </c>
      <c r="F27" s="34">
        <v>2</v>
      </c>
      <c r="G27" s="28">
        <f>AVERAGEIF(B$2:$B$66, B27, $E$2:$E$66)</f>
        <v>1</v>
      </c>
      <c r="H27" s="29">
        <f>SUMIF($B$2:$B$66, B27, $F$2:$F$66) / SUM(F$2:$F$66)</f>
        <v>3.2863849765258218E-2</v>
      </c>
      <c r="I27" s="8"/>
    </row>
    <row r="28" spans="1:9" ht="94.2" thickBot="1" x14ac:dyDescent="0.35">
      <c r="A28" s="9">
        <v>27</v>
      </c>
      <c r="B28" s="10" t="s">
        <v>13</v>
      </c>
      <c r="C28" s="14" t="s">
        <v>61</v>
      </c>
      <c r="D28" s="34" t="s">
        <v>101</v>
      </c>
      <c r="E28" s="27" cm="1">
        <f t="array" ref="E28">_xlfn.SWITCH(D28,"d",1,"c",0.75,"b",0.5,"a", 0.25)</f>
        <v>0.5</v>
      </c>
      <c r="F28" s="34">
        <v>1</v>
      </c>
      <c r="G28" s="28">
        <f>AVERAGEIF(B$2:$B$66, B28, $E$2:$E$66)</f>
        <v>0.5</v>
      </c>
      <c r="H28" s="29">
        <f>SUMIF($B$2:$B$66, B28, $F$2:$F$66) / SUM(F$2:$F$66)</f>
        <v>9.3896713615023476E-3</v>
      </c>
      <c r="I28" s="8"/>
    </row>
    <row r="29" spans="1:9" ht="94.2" thickBot="1" x14ac:dyDescent="0.35">
      <c r="A29" s="11">
        <v>28</v>
      </c>
      <c r="B29" s="12" t="s">
        <v>13</v>
      </c>
      <c r="C29" s="15" t="s">
        <v>62</v>
      </c>
      <c r="D29" s="34" t="s">
        <v>101</v>
      </c>
      <c r="E29" s="27" cm="1">
        <f t="array" ref="E29">_xlfn.SWITCH(D29,"d",1,"c",0.75,"b",0.5,"a", 0.25)</f>
        <v>0.5</v>
      </c>
      <c r="F29" s="34">
        <v>1</v>
      </c>
      <c r="G29" s="28">
        <f>AVERAGEIF(B$2:$B$66, B29, $E$2:$E$66)</f>
        <v>0.5</v>
      </c>
      <c r="H29" s="29">
        <f>SUMIF($B$2:$B$66, B29, $F$2:$F$66) / SUM(F$2:$F$66)</f>
        <v>9.3896713615023476E-3</v>
      </c>
      <c r="I29" s="8"/>
    </row>
    <row r="30" spans="1:9" ht="94.2" thickBot="1" x14ac:dyDescent="0.35">
      <c r="A30" s="12">
        <v>29</v>
      </c>
      <c r="B30" s="13" t="s">
        <v>14</v>
      </c>
      <c r="C30" s="15" t="s">
        <v>63</v>
      </c>
      <c r="D30" s="34" t="s">
        <v>101</v>
      </c>
      <c r="E30" s="27" cm="1">
        <f t="array" ref="E30">_xlfn.SWITCH(D30,"d",1,"c",0.75,"b",0.5,"a", 0.25)</f>
        <v>0.5</v>
      </c>
      <c r="F30" s="34">
        <v>4</v>
      </c>
      <c r="G30" s="28">
        <f>AVERAGEIF(B$2:$B$66, B30, $E$2:$E$66)</f>
        <v>0.5</v>
      </c>
      <c r="H30" s="29">
        <f>SUMIF($B$2:$B$66, B30, $F$2:$F$66) / SUM(F$2:$F$66)</f>
        <v>4.2253521126760563E-2</v>
      </c>
      <c r="I30" s="8"/>
    </row>
    <row r="31" spans="1:9" ht="94.2" thickBot="1" x14ac:dyDescent="0.35">
      <c r="A31" s="12">
        <v>30</v>
      </c>
      <c r="B31" s="13" t="s">
        <v>14</v>
      </c>
      <c r="C31" s="15" t="s">
        <v>64</v>
      </c>
      <c r="D31" s="34" t="s">
        <v>101</v>
      </c>
      <c r="E31" s="27" cm="1">
        <f t="array" ref="E31">_xlfn.SWITCH(D31,"d",1,"c",0.75,"b",0.5,"a", 0.25)</f>
        <v>0.5</v>
      </c>
      <c r="F31" s="34">
        <v>5</v>
      </c>
      <c r="G31" s="28">
        <f>AVERAGEIF(B$2:$B$66, B31, $E$2:$E$66)</f>
        <v>0.5</v>
      </c>
      <c r="H31" s="29">
        <f>SUMIF($B$2:$B$66, B31, $F$2:$F$66) / SUM(F$2:$F$66)</f>
        <v>4.2253521126760563E-2</v>
      </c>
      <c r="I31" s="8"/>
    </row>
    <row r="32" spans="1:9" ht="94.2" thickBot="1" x14ac:dyDescent="0.35">
      <c r="A32" s="12">
        <v>31</v>
      </c>
      <c r="B32" s="13" t="s">
        <v>26</v>
      </c>
      <c r="C32" s="15" t="s">
        <v>65</v>
      </c>
      <c r="D32" s="34" t="s">
        <v>101</v>
      </c>
      <c r="E32" s="27" cm="1">
        <f t="array" ref="E32">_xlfn.SWITCH(D32,"d",1,"c",0.75,"b",0.5,"a", 0.25)</f>
        <v>0.5</v>
      </c>
      <c r="F32" s="34">
        <v>2</v>
      </c>
      <c r="G32" s="28">
        <f>AVERAGEIF(B$2:$B$66, B32, $E$2:$E$66)</f>
        <v>0.5</v>
      </c>
      <c r="H32" s="29">
        <f>SUMIF($B$2:$B$66, B32, $F$2:$F$66) / SUM(F$2:$F$66)</f>
        <v>2.3474178403755867E-2</v>
      </c>
      <c r="I32" s="8"/>
    </row>
    <row r="33" spans="1:9" ht="94.2" thickBot="1" x14ac:dyDescent="0.35">
      <c r="A33" s="12">
        <v>32</v>
      </c>
      <c r="B33" s="13" t="s">
        <v>26</v>
      </c>
      <c r="C33" s="15" t="s">
        <v>66</v>
      </c>
      <c r="D33" s="34" t="s">
        <v>101</v>
      </c>
      <c r="E33" s="27" cm="1">
        <f t="array" ref="E33">_xlfn.SWITCH(D33,"d",1,"c",0.75,"b",0.5,"a", 0.25)</f>
        <v>0.5</v>
      </c>
      <c r="F33" s="34">
        <v>3</v>
      </c>
      <c r="G33" s="28">
        <f>AVERAGEIF(B$2:$B$66, B33, $E$2:$E$66)</f>
        <v>0.5</v>
      </c>
      <c r="H33" s="29">
        <f>SUMIF($B$2:$B$66, B33, $F$2:$F$66) / SUM(F$2:$F$66)</f>
        <v>2.3474178403755867E-2</v>
      </c>
      <c r="I33" s="8"/>
    </row>
    <row r="34" spans="1:9" ht="94.2" thickBot="1" x14ac:dyDescent="0.35">
      <c r="A34" s="12">
        <v>33</v>
      </c>
      <c r="B34" s="13" t="s">
        <v>16</v>
      </c>
      <c r="C34" s="15" t="s">
        <v>67</v>
      </c>
      <c r="D34" s="34" t="s">
        <v>101</v>
      </c>
      <c r="E34" s="27" cm="1">
        <f t="array" ref="E34">_xlfn.SWITCH(D34,"d",1,"c",0.75,"b",0.5,"a", 0.25)</f>
        <v>0.5</v>
      </c>
      <c r="F34" s="34">
        <v>4</v>
      </c>
      <c r="G34" s="28">
        <f>AVERAGEIF(B$2:$B$66, B34, $E$2:$E$66)</f>
        <v>0.5</v>
      </c>
      <c r="H34" s="29">
        <f>SUMIF($B$2:$B$66, B34, $F$2:$F$66) / SUM(F$2:$F$66)</f>
        <v>4.2253521126760563E-2</v>
      </c>
      <c r="I34" s="8"/>
    </row>
    <row r="35" spans="1:9" ht="94.2" thickBot="1" x14ac:dyDescent="0.35">
      <c r="A35" s="12">
        <v>34</v>
      </c>
      <c r="B35" s="13" t="s">
        <v>16</v>
      </c>
      <c r="C35" s="15" t="s">
        <v>68</v>
      </c>
      <c r="D35" s="34" t="s">
        <v>101</v>
      </c>
      <c r="E35" s="27" cm="1">
        <f t="array" ref="E35">_xlfn.SWITCH(D35,"d",1,"c",0.75,"b",0.5,"a", 0.25)</f>
        <v>0.5</v>
      </c>
      <c r="F35" s="34">
        <v>5</v>
      </c>
      <c r="G35" s="28">
        <f>AVERAGEIF(B$2:$B$66, B35, $E$2:$E$66)</f>
        <v>0.5</v>
      </c>
      <c r="H35" s="29">
        <f>SUMIF($B$2:$B$66, B35, $F$2:$F$66) / SUM(F$2:$F$66)</f>
        <v>4.2253521126760563E-2</v>
      </c>
      <c r="I35" s="8"/>
    </row>
    <row r="36" spans="1:9" ht="94.2" thickBot="1" x14ac:dyDescent="0.35">
      <c r="A36" s="12">
        <v>35</v>
      </c>
      <c r="B36" s="13" t="s">
        <v>17</v>
      </c>
      <c r="C36" s="15" t="s">
        <v>69</v>
      </c>
      <c r="D36" s="34" t="s">
        <v>101</v>
      </c>
      <c r="E36" s="27" cm="1">
        <f t="array" ref="E36">_xlfn.SWITCH(D36,"d",1,"c",0.75,"b",0.5,"a", 0.25)</f>
        <v>0.5</v>
      </c>
      <c r="F36" s="34">
        <v>4</v>
      </c>
      <c r="G36" s="28">
        <f>AVERAGEIF(B$2:$B$66, B36, $E$2:$E$66)</f>
        <v>0.5</v>
      </c>
      <c r="H36" s="29">
        <f>SUMIF($B$2:$B$66, B36, $F$2:$F$66) / SUM(F$2:$F$66)</f>
        <v>3.2863849765258218E-2</v>
      </c>
      <c r="I36" s="8"/>
    </row>
    <row r="37" spans="1:9" ht="94.2" thickBot="1" x14ac:dyDescent="0.35">
      <c r="A37" s="12">
        <v>36</v>
      </c>
      <c r="B37" s="13" t="s">
        <v>17</v>
      </c>
      <c r="C37" s="15" t="s">
        <v>70</v>
      </c>
      <c r="D37" s="34" t="s">
        <v>101</v>
      </c>
      <c r="E37" s="27" cm="1">
        <f t="array" ref="E37">_xlfn.SWITCH(D37,"d",1,"c",0.75,"b",0.5,"a", 0.25)</f>
        <v>0.5</v>
      </c>
      <c r="F37" s="34">
        <v>3</v>
      </c>
      <c r="G37" s="28">
        <f>AVERAGEIF(B$2:$B$66, B37, $E$2:$E$66)</f>
        <v>0.5</v>
      </c>
      <c r="H37" s="29">
        <f>SUMIF($B$2:$B$66, B37, $F$2:$F$66) / SUM(F$2:$F$66)</f>
        <v>3.2863849765258218E-2</v>
      </c>
      <c r="I37" s="8"/>
    </row>
    <row r="38" spans="1:9" ht="94.2" thickBot="1" x14ac:dyDescent="0.35">
      <c r="A38" s="12">
        <v>37</v>
      </c>
      <c r="B38" s="13" t="s">
        <v>18</v>
      </c>
      <c r="C38" s="15" t="s">
        <v>71</v>
      </c>
      <c r="D38" s="34" t="s">
        <v>101</v>
      </c>
      <c r="E38" s="27" cm="1">
        <f t="array" ref="E38">_xlfn.SWITCH(D38,"d",1,"c",0.75,"b",0.5,"a", 0.25)</f>
        <v>0.5</v>
      </c>
      <c r="F38" s="34">
        <v>2</v>
      </c>
      <c r="G38" s="28">
        <f>AVERAGEIF(B$2:$B$66, B38, $E$2:$E$66)</f>
        <v>0.5</v>
      </c>
      <c r="H38" s="29">
        <f>SUMIF($B$2:$B$66, B38, $F$2:$F$66) / SUM(F$2:$F$66)</f>
        <v>1.4084507042253521E-2</v>
      </c>
      <c r="I38" s="8"/>
    </row>
    <row r="39" spans="1:9" ht="94.2" thickBot="1" x14ac:dyDescent="0.35">
      <c r="A39" s="12">
        <v>38</v>
      </c>
      <c r="B39" s="13" t="s">
        <v>18</v>
      </c>
      <c r="C39" s="15" t="s">
        <v>72</v>
      </c>
      <c r="D39" s="34" t="s">
        <v>101</v>
      </c>
      <c r="E39" s="27" cm="1">
        <f t="array" ref="E39">_xlfn.SWITCH(D39,"d",1,"c",0.75,"b",0.5,"a", 0.25)</f>
        <v>0.5</v>
      </c>
      <c r="F39" s="34">
        <v>1</v>
      </c>
      <c r="G39" s="28">
        <f>AVERAGEIF(B$2:$B$66, B39, $E$2:$E$66)</f>
        <v>0.5</v>
      </c>
      <c r="H39" s="29">
        <f>SUMIF($B$2:$B$66, B39, $F$2:$F$66) / SUM(F$2:$F$66)</f>
        <v>1.4084507042253521E-2</v>
      </c>
      <c r="I39" s="8"/>
    </row>
    <row r="40" spans="1:9" ht="94.2" thickBot="1" x14ac:dyDescent="0.35">
      <c r="A40" s="12">
        <v>39</v>
      </c>
      <c r="B40" s="13" t="s">
        <v>19</v>
      </c>
      <c r="C40" s="15" t="s">
        <v>73</v>
      </c>
      <c r="D40" s="34" t="s">
        <v>101</v>
      </c>
      <c r="E40" s="27" cm="1">
        <f t="array" ref="E40">_xlfn.SWITCH(D40,"d",1,"c",0.75,"b",0.5,"a", 0.25)</f>
        <v>0.5</v>
      </c>
      <c r="F40" s="34">
        <v>2</v>
      </c>
      <c r="G40" s="28">
        <f>AVERAGEIF(B$2:$B$66, B40, $E$2:$E$66)</f>
        <v>0.75</v>
      </c>
      <c r="H40" s="29">
        <f>SUMIF($B$2:$B$66, B40, $F$2:$F$66) / SUM(F$2:$F$66)</f>
        <v>2.3474178403755867E-2</v>
      </c>
      <c r="I40" s="8"/>
    </row>
    <row r="41" spans="1:9" ht="109.8" thickBot="1" x14ac:dyDescent="0.35">
      <c r="A41" s="12">
        <v>40</v>
      </c>
      <c r="B41" s="13" t="s">
        <v>19</v>
      </c>
      <c r="C41" s="15" t="s">
        <v>74</v>
      </c>
      <c r="D41" s="34" t="s">
        <v>105</v>
      </c>
      <c r="E41" s="27" cm="1">
        <f t="array" ref="E41">_xlfn.SWITCH(D41,"d",1,"c",0.75,"b",0.5,"a", 0.25)</f>
        <v>1</v>
      </c>
      <c r="F41" s="34">
        <v>3</v>
      </c>
      <c r="G41" s="28">
        <f>AVERAGEIF(B$2:$B$66, B41, $E$2:$E$66)</f>
        <v>0.75</v>
      </c>
      <c r="H41" s="29">
        <f>SUMIF($B$2:$B$66, B41, $F$2:$F$66) / SUM(F$2:$F$66)</f>
        <v>2.3474178403755867E-2</v>
      </c>
      <c r="I41" s="8"/>
    </row>
    <row r="42" spans="1:9" ht="94.2" thickBot="1" x14ac:dyDescent="0.35">
      <c r="A42" s="12">
        <v>41</v>
      </c>
      <c r="B42" s="13" t="s">
        <v>20</v>
      </c>
      <c r="C42" s="15" t="s">
        <v>75</v>
      </c>
      <c r="D42" s="34" t="s">
        <v>105</v>
      </c>
      <c r="E42" s="27" cm="1">
        <f t="array" ref="E42">_xlfn.SWITCH(D42,"d",1,"c",0.75,"b",0.5,"a", 0.25)</f>
        <v>1</v>
      </c>
      <c r="F42" s="34">
        <v>4</v>
      </c>
      <c r="G42" s="28">
        <f>AVERAGEIF(B$2:$B$66, B42, $E$2:$E$66)</f>
        <v>0.75</v>
      </c>
      <c r="H42" s="29">
        <f>SUMIF($B$2:$B$66, B42, $F$2:$F$66) / SUM(F$2:$F$66)</f>
        <v>4.2253521126760563E-2</v>
      </c>
      <c r="I42" s="8"/>
    </row>
    <row r="43" spans="1:9" ht="94.2" thickBot="1" x14ac:dyDescent="0.35">
      <c r="A43" s="12">
        <v>42</v>
      </c>
      <c r="B43" s="13" t="s">
        <v>20</v>
      </c>
      <c r="C43" s="15" t="s">
        <v>76</v>
      </c>
      <c r="D43" s="34" t="s">
        <v>101</v>
      </c>
      <c r="E43" s="27" cm="1">
        <f t="array" ref="E43">_xlfn.SWITCH(D43,"d",1,"c",0.75,"b",0.5,"a", 0.25)</f>
        <v>0.5</v>
      </c>
      <c r="F43" s="34">
        <v>5</v>
      </c>
      <c r="G43" s="28">
        <f>AVERAGEIF(B$2:$B$66, B43, $E$2:$E$66)</f>
        <v>0.75</v>
      </c>
      <c r="H43" s="29">
        <f>SUMIF($B$2:$B$66, B43, $F$2:$F$66) / SUM(F$2:$F$66)</f>
        <v>4.2253521126760563E-2</v>
      </c>
      <c r="I43" s="8"/>
    </row>
    <row r="44" spans="1:9" ht="94.2" thickBot="1" x14ac:dyDescent="0.35">
      <c r="A44" s="12">
        <v>43</v>
      </c>
      <c r="B44" s="13" t="s">
        <v>27</v>
      </c>
      <c r="C44" s="15" t="s">
        <v>77</v>
      </c>
      <c r="D44" s="34" t="s">
        <v>101</v>
      </c>
      <c r="E44" s="27" cm="1">
        <f t="array" ref="E44">_xlfn.SWITCH(D44,"d",1,"c",0.75,"b",0.5,"a", 0.25)</f>
        <v>0.5</v>
      </c>
      <c r="F44" s="34">
        <v>4</v>
      </c>
      <c r="G44" s="28">
        <f>AVERAGEIF(B$2:$B$66, B44, $E$2:$E$66)</f>
        <v>0.5</v>
      </c>
      <c r="H44" s="29">
        <f>SUMIF($B$2:$B$66, B44, $F$2:$F$66) / SUM(F$2:$F$66)</f>
        <v>1.8779342723004695E-2</v>
      </c>
      <c r="I44" s="8"/>
    </row>
    <row r="45" spans="1:9" ht="94.2" thickBot="1" x14ac:dyDescent="0.35">
      <c r="A45" s="12">
        <v>44</v>
      </c>
      <c r="B45" s="13" t="s">
        <v>28</v>
      </c>
      <c r="C45" s="15" t="s">
        <v>78</v>
      </c>
      <c r="D45" s="34" t="s">
        <v>101</v>
      </c>
      <c r="E45" s="27" cm="1">
        <f t="array" ref="E45">_xlfn.SWITCH(D45,"d",1,"c",0.75,"b",0.5,"a", 0.25)</f>
        <v>0.5</v>
      </c>
      <c r="F45" s="34">
        <v>2</v>
      </c>
      <c r="G45" s="28">
        <f>AVERAGEIF(B$2:$B$66, B45, $E$2:$E$66)</f>
        <v>0.5</v>
      </c>
      <c r="H45" s="29">
        <f>SUMIF($B$2:$B$66, B45, $F$2:$F$66) / SUM(F$2:$F$66)</f>
        <v>9.3896713615023476E-3</v>
      </c>
      <c r="I45" s="8"/>
    </row>
    <row r="46" spans="1:9" ht="94.2" thickBot="1" x14ac:dyDescent="0.35">
      <c r="A46" s="12">
        <v>45</v>
      </c>
      <c r="B46" s="13" t="s">
        <v>29</v>
      </c>
      <c r="C46" s="15" t="s">
        <v>79</v>
      </c>
      <c r="D46" s="34" t="s">
        <v>101</v>
      </c>
      <c r="E46" s="27" cm="1">
        <f t="array" ref="E46">_xlfn.SWITCH(D46,"d",1,"c",0.75,"b",0.5,"a", 0.25)</f>
        <v>0.5</v>
      </c>
      <c r="F46" s="34">
        <v>5</v>
      </c>
      <c r="G46" s="28">
        <f>AVERAGEIF(B$2:$B$66, B46, $E$2:$E$66)</f>
        <v>0.5</v>
      </c>
      <c r="H46" s="29">
        <f>SUMIF($B$2:$B$66, B46, $F$2:$F$66) / SUM(F$2:$F$66)</f>
        <v>2.3474178403755867E-2</v>
      </c>
      <c r="I46" s="8"/>
    </row>
    <row r="47" spans="1:9" ht="94.2" thickBot="1" x14ac:dyDescent="0.35">
      <c r="A47" s="12">
        <v>46</v>
      </c>
      <c r="B47" s="13" t="s">
        <v>30</v>
      </c>
      <c r="C47" s="15" t="s">
        <v>80</v>
      </c>
      <c r="D47" s="34" t="s">
        <v>105</v>
      </c>
      <c r="E47" s="27" cm="1">
        <f t="array" ref="E47">_xlfn.SWITCH(D47,"d",1,"c",0.75,"b",0.5,"a", 0.25)</f>
        <v>1</v>
      </c>
      <c r="F47" s="34">
        <v>1</v>
      </c>
      <c r="G47" s="28">
        <f>AVERAGEIF(B$2:$B$66, B47, $E$2:$E$66)</f>
        <v>0.875</v>
      </c>
      <c r="H47" s="29">
        <f>SUMIF($B$2:$B$66, B47, $F$2:$F$66) / SUM(F$2:$F$66)</f>
        <v>1.4084507042253521E-2</v>
      </c>
      <c r="I47" s="8"/>
    </row>
    <row r="48" spans="1:9" ht="94.2" thickBot="1" x14ac:dyDescent="0.35">
      <c r="A48" s="12">
        <v>47</v>
      </c>
      <c r="B48" s="13" t="s">
        <v>30</v>
      </c>
      <c r="C48" s="15" t="s">
        <v>81</v>
      </c>
      <c r="D48" s="34" t="s">
        <v>106</v>
      </c>
      <c r="E48" s="27" cm="1">
        <f t="array" ref="E48">_xlfn.SWITCH(D48,"d",1,"c",0.75,"b",0.5,"a", 0.25)</f>
        <v>0.75</v>
      </c>
      <c r="F48" s="34">
        <v>2</v>
      </c>
      <c r="G48" s="28">
        <f>AVERAGEIF(B$2:$B$66, B48, $E$2:$E$66)</f>
        <v>0.875</v>
      </c>
      <c r="H48" s="29">
        <f>SUMIF($B$2:$B$66, B48, $F$2:$F$66) / SUM(F$2:$F$66)</f>
        <v>1.4084507042253521E-2</v>
      </c>
      <c r="I48" s="8"/>
    </row>
    <row r="49" spans="1:8" ht="125.4" thickBot="1" x14ac:dyDescent="0.35">
      <c r="A49" s="1">
        <v>48</v>
      </c>
      <c r="B49" s="2" t="s">
        <v>32</v>
      </c>
      <c r="C49" s="16" t="s">
        <v>82</v>
      </c>
      <c r="D49" s="34" t="s">
        <v>106</v>
      </c>
      <c r="E49" s="27" cm="1">
        <f t="array" ref="E49">_xlfn.SWITCH(D49,"d",1,"c",0.75,"b",0.5,"a", 0.25)</f>
        <v>0.75</v>
      </c>
      <c r="F49" s="34">
        <v>3</v>
      </c>
      <c r="G49" s="28">
        <f>AVERAGEIF(B$2:$B$66, B49, $E$2:$E$66)</f>
        <v>0.75</v>
      </c>
      <c r="H49" s="29">
        <f>SUMIF($B$2:$B$66, B49, $F$2:$F$66) / SUM(F$2:$F$66)</f>
        <v>4.2253521126760563E-2</v>
      </c>
    </row>
    <row r="50" spans="1:8" ht="141" thickBot="1" x14ac:dyDescent="0.35">
      <c r="A50" s="1">
        <v>49</v>
      </c>
      <c r="B50" s="2" t="s">
        <v>32</v>
      </c>
      <c r="C50" s="16" t="s">
        <v>83</v>
      </c>
      <c r="D50" s="34" t="s">
        <v>105</v>
      </c>
      <c r="E50" s="27" cm="1">
        <f t="array" ref="E50">_xlfn.SWITCH(D50,"d",1,"c",0.75,"b",0.5,"a", 0.25)</f>
        <v>1</v>
      </c>
      <c r="F50" s="34">
        <v>3</v>
      </c>
      <c r="G50" s="28">
        <f>AVERAGEIF(B$2:$B$66, B50, $E$2:$E$66)</f>
        <v>0.75</v>
      </c>
      <c r="H50" s="29">
        <f>SUMIF($B$2:$B$66, B50, $F$2:$F$66) / SUM(F$2:$F$66)</f>
        <v>4.2253521126760563E-2</v>
      </c>
    </row>
    <row r="51" spans="1:8" ht="141" thickBot="1" x14ac:dyDescent="0.35">
      <c r="A51" s="1">
        <v>50</v>
      </c>
      <c r="B51" s="2" t="s">
        <v>32</v>
      </c>
      <c r="C51" s="16" t="s">
        <v>84</v>
      </c>
      <c r="D51" s="34" t="s">
        <v>101</v>
      </c>
      <c r="E51" s="27" cm="1">
        <f t="array" ref="E51">_xlfn.SWITCH(D51,"d",1,"c",0.75,"b",0.5,"a", 0.25)</f>
        <v>0.5</v>
      </c>
      <c r="F51" s="34">
        <v>3</v>
      </c>
      <c r="G51" s="28">
        <f>AVERAGEIF(B$2:$B$66, B51, $E$2:$E$66)</f>
        <v>0.75</v>
      </c>
      <c r="H51" s="29">
        <f>SUMIF($B$2:$B$66, B51, $F$2:$F$66) / SUM(F$2:$F$66)</f>
        <v>4.2253521126760563E-2</v>
      </c>
    </row>
    <row r="52" spans="1:8" ht="109.8" thickBot="1" x14ac:dyDescent="0.35">
      <c r="A52" s="1">
        <v>51</v>
      </c>
      <c r="B52" s="2" t="s">
        <v>33</v>
      </c>
      <c r="C52" s="16" t="s">
        <v>85</v>
      </c>
      <c r="D52" s="34" t="s">
        <v>101</v>
      </c>
      <c r="E52" s="27" cm="1">
        <f t="array" ref="E52">_xlfn.SWITCH(D52,"d",1,"c",0.75,"b",0.5,"a", 0.25)</f>
        <v>0.5</v>
      </c>
      <c r="F52" s="34">
        <v>3</v>
      </c>
      <c r="G52" s="28">
        <f>AVERAGEIF(B$2:$B$66, B52, $E$2:$E$66)</f>
        <v>0.5</v>
      </c>
      <c r="H52" s="29">
        <f>SUMIF($B$2:$B$66, B52, $F$2:$F$66) / SUM(F$2:$F$66)</f>
        <v>2.8169014084507043E-2</v>
      </c>
    </row>
    <row r="53" spans="1:8" ht="156.6" thickBot="1" x14ac:dyDescent="0.35">
      <c r="A53" s="1">
        <v>52</v>
      </c>
      <c r="B53" s="2" t="s">
        <v>33</v>
      </c>
      <c r="C53" s="16" t="s">
        <v>86</v>
      </c>
      <c r="D53" s="34" t="s">
        <v>101</v>
      </c>
      <c r="E53" s="27" cm="1">
        <f t="array" ref="E53">_xlfn.SWITCH(D53,"d",1,"c",0.75,"b",0.5,"a", 0.25)</f>
        <v>0.5</v>
      </c>
      <c r="F53" s="34">
        <v>3</v>
      </c>
      <c r="G53" s="28">
        <f>AVERAGEIF(B$2:$B$66, B53, $E$2:$E$66)</f>
        <v>0.5</v>
      </c>
      <c r="H53" s="29">
        <f>SUMIF($B$2:$B$66, B53, $F$2:$F$66) / SUM(F$2:$F$66)</f>
        <v>2.8169014084507043E-2</v>
      </c>
    </row>
    <row r="54" spans="1:8" ht="125.4" thickBot="1" x14ac:dyDescent="0.35">
      <c r="A54" s="1">
        <v>53</v>
      </c>
      <c r="B54" s="2" t="s">
        <v>34</v>
      </c>
      <c r="C54" s="16" t="s">
        <v>87</v>
      </c>
      <c r="D54" s="34" t="s">
        <v>101</v>
      </c>
      <c r="E54" s="27" cm="1">
        <f t="array" ref="E54">_xlfn.SWITCH(D54,"d",1,"c",0.75,"b",0.5,"a", 0.25)</f>
        <v>0.5</v>
      </c>
      <c r="F54" s="34">
        <v>3</v>
      </c>
      <c r="G54" s="28">
        <f>AVERAGEIF(B$2:$B$66, B54, $E$2:$E$66)</f>
        <v>0.5</v>
      </c>
      <c r="H54" s="29">
        <f>SUMIF($B$2:$B$66, B54, $F$2:$F$66) / SUM(F$2:$F$66)</f>
        <v>2.8169014084507043E-2</v>
      </c>
    </row>
    <row r="55" spans="1:8" ht="109.8" thickBot="1" x14ac:dyDescent="0.35">
      <c r="A55" s="1">
        <v>54</v>
      </c>
      <c r="B55" s="2" t="s">
        <v>34</v>
      </c>
      <c r="C55" s="16" t="s">
        <v>88</v>
      </c>
      <c r="D55" s="34" t="s">
        <v>101</v>
      </c>
      <c r="E55" s="27" cm="1">
        <f t="array" ref="E55">_xlfn.SWITCH(D55,"d",1,"c",0.75,"b",0.5,"a", 0.25)</f>
        <v>0.5</v>
      </c>
      <c r="F55" s="34">
        <v>3</v>
      </c>
      <c r="G55" s="28">
        <f>AVERAGEIF(B$2:$B$66, B55, $E$2:$E$66)</f>
        <v>0.5</v>
      </c>
      <c r="H55" s="29">
        <f>SUMIF($B$2:$B$66, B55, $F$2:$F$66) / SUM(F$2:$F$66)</f>
        <v>2.8169014084507043E-2</v>
      </c>
    </row>
    <row r="56" spans="1:8" ht="141" thickBot="1" x14ac:dyDescent="0.35">
      <c r="A56" s="1">
        <v>55</v>
      </c>
      <c r="B56" s="2" t="s">
        <v>0</v>
      </c>
      <c r="C56" s="16" t="s">
        <v>89</v>
      </c>
      <c r="D56" s="34" t="s">
        <v>101</v>
      </c>
      <c r="E56" s="27" cm="1">
        <f t="array" ref="E56">_xlfn.SWITCH(D56,"d",1,"c",0.75,"b",0.5,"a", 0.25)</f>
        <v>0.5</v>
      </c>
      <c r="F56" s="34">
        <v>3</v>
      </c>
      <c r="G56" s="28">
        <f>AVERAGEIF(B$2:$B$66, B56, $E$2:$E$66)</f>
        <v>0.58333333333333337</v>
      </c>
      <c r="H56" s="29">
        <f>SUMIF($B$2:$B$66, B56, $F$2:$F$66) / SUM(F$2:$F$66)</f>
        <v>5.1643192488262914E-2</v>
      </c>
    </row>
    <row r="57" spans="1:8" ht="125.4" thickBot="1" x14ac:dyDescent="0.35">
      <c r="A57" s="1">
        <v>56</v>
      </c>
      <c r="B57" s="2" t="s">
        <v>1</v>
      </c>
      <c r="C57" s="16" t="s">
        <v>90</v>
      </c>
      <c r="D57" s="34" t="s">
        <v>101</v>
      </c>
      <c r="E57" s="27" cm="1">
        <f t="array" ref="E57">_xlfn.SWITCH(D57,"d",1,"c",0.75,"b",0.5,"a", 0.25)</f>
        <v>0.5</v>
      </c>
      <c r="F57" s="34">
        <v>5</v>
      </c>
      <c r="G57" s="28">
        <f>AVERAGEIF(B$2:$B$66, B57, $E$2:$E$66)</f>
        <v>0.66666666666666663</v>
      </c>
      <c r="H57" s="29">
        <f>SUMIF($B$2:$B$66, B57, $F$2:$F$66) / SUM(F$2:$F$66)</f>
        <v>5.1643192488262914E-2</v>
      </c>
    </row>
    <row r="58" spans="1:8" ht="125.4" thickBot="1" x14ac:dyDescent="0.35">
      <c r="A58" s="1">
        <v>57</v>
      </c>
      <c r="B58" s="2" t="s">
        <v>2</v>
      </c>
      <c r="C58" s="16" t="s">
        <v>91</v>
      </c>
      <c r="D58" s="34" t="s">
        <v>101</v>
      </c>
      <c r="E58" s="27" cm="1">
        <f t="array" ref="E58">_xlfn.SWITCH(D58,"d",1,"c",0.75,"b",0.5,"a", 0.25)</f>
        <v>0.5</v>
      </c>
      <c r="F58" s="34">
        <v>3</v>
      </c>
      <c r="G58" s="28">
        <f>AVERAGEIF(B$2:$B$66, B58, $E$2:$E$66)</f>
        <v>0.5</v>
      </c>
      <c r="H58" s="29">
        <f>SUMIF($B$2:$B$66, B58, $F$2:$F$66) / SUM(F$2:$F$66)</f>
        <v>5.6338028169014086E-2</v>
      </c>
    </row>
    <row r="59" spans="1:8" ht="141" thickBot="1" x14ac:dyDescent="0.35">
      <c r="A59" s="1">
        <v>58</v>
      </c>
      <c r="B59" s="2" t="s">
        <v>3</v>
      </c>
      <c r="C59" s="16" t="s">
        <v>92</v>
      </c>
      <c r="D59" s="34" t="s">
        <v>101</v>
      </c>
      <c r="E59" s="27" cm="1">
        <f t="array" ref="E59">_xlfn.SWITCH(D59,"d",1,"c",0.75,"b",0.5,"a", 0.25)</f>
        <v>0.5</v>
      </c>
      <c r="F59" s="34">
        <v>3</v>
      </c>
      <c r="G59" s="28">
        <f>AVERAGEIF(B$2:$B$66, B59, $E$2:$E$66)</f>
        <v>0.66666666666666663</v>
      </c>
      <c r="H59" s="29">
        <f>SUMIF($B$2:$B$66, B59, $F$2:$F$66) / SUM(F$2:$F$66)</f>
        <v>4.2253521126760563E-2</v>
      </c>
    </row>
    <row r="60" spans="1:8" ht="141" thickBot="1" x14ac:dyDescent="0.35">
      <c r="A60" s="1">
        <v>59</v>
      </c>
      <c r="B60" s="2" t="s">
        <v>5</v>
      </c>
      <c r="C60" s="16" t="s">
        <v>93</v>
      </c>
      <c r="D60" s="34" t="s">
        <v>101</v>
      </c>
      <c r="E60" s="27" cm="1">
        <f t="array" ref="E60">_xlfn.SWITCH(D60,"d",1,"c",0.75,"b",0.5,"a", 0.25)</f>
        <v>0.5</v>
      </c>
      <c r="F60" s="34">
        <v>3</v>
      </c>
      <c r="G60" s="28">
        <f>AVERAGEIF(B$2:$B$66, B60, $E$2:$E$66)</f>
        <v>0.75</v>
      </c>
      <c r="H60" s="29">
        <f>SUMIF($B$2:$B$66, B60, $F$2:$F$66) / SUM(F$2:$F$66)</f>
        <v>4.6948356807511735E-2</v>
      </c>
    </row>
    <row r="61" spans="1:8" ht="125.4" thickBot="1" x14ac:dyDescent="0.35">
      <c r="A61" s="1">
        <v>60</v>
      </c>
      <c r="B61" s="2" t="s">
        <v>6</v>
      </c>
      <c r="C61" s="16" t="s">
        <v>94</v>
      </c>
      <c r="D61" s="34" t="s">
        <v>101</v>
      </c>
      <c r="E61" s="27" cm="1">
        <f t="array" ref="E61">_xlfn.SWITCH(D61,"d",1,"c",0.75,"b",0.5,"a", 0.25)</f>
        <v>0.5</v>
      </c>
      <c r="F61" s="34">
        <v>3</v>
      </c>
      <c r="G61" s="28">
        <f>AVERAGEIF(B$2:$B$66, B61, $E$2:$E$66)</f>
        <v>0.58333333333333337</v>
      </c>
      <c r="H61" s="29">
        <f>SUMIF($B$2:$B$66, B61, $F$2:$F$66) / SUM(F$2:$F$66)</f>
        <v>4.6948356807511735E-2</v>
      </c>
    </row>
    <row r="62" spans="1:8" ht="109.8" thickBot="1" x14ac:dyDescent="0.35">
      <c r="A62" s="1">
        <v>61</v>
      </c>
      <c r="B62" s="2" t="s">
        <v>7</v>
      </c>
      <c r="C62" s="16" t="s">
        <v>95</v>
      </c>
      <c r="D62" s="34" t="s">
        <v>101</v>
      </c>
      <c r="E62" s="27" cm="1">
        <f t="array" ref="E62">_xlfn.SWITCH(D62,"d",1,"c",0.75,"b",0.5,"a", 0.25)</f>
        <v>0.5</v>
      </c>
      <c r="F62" s="34">
        <v>3</v>
      </c>
      <c r="G62" s="28">
        <f>AVERAGEIF(B$2:$B$66, B62, $E$2:$E$66)</f>
        <v>0.66666666666666663</v>
      </c>
      <c r="H62" s="29">
        <f>SUMIF($B$2:$B$66, B62, $F$2:$F$66) / SUM(F$2:$F$66)</f>
        <v>4.6948356807511735E-2</v>
      </c>
    </row>
    <row r="63" spans="1:8" ht="109.8" thickBot="1" x14ac:dyDescent="0.35">
      <c r="A63" s="1">
        <v>62</v>
      </c>
      <c r="B63" s="2" t="s">
        <v>8</v>
      </c>
      <c r="C63" s="16" t="s">
        <v>96</v>
      </c>
      <c r="D63" s="34" t="s">
        <v>101</v>
      </c>
      <c r="E63" s="27" cm="1">
        <f t="array" ref="E63">_xlfn.SWITCH(D63,"d",1,"c",0.75,"b",0.5,"a", 0.25)</f>
        <v>0.5</v>
      </c>
      <c r="F63" s="34">
        <v>3</v>
      </c>
      <c r="G63" s="28">
        <f>AVERAGEIF(B$2:$B$66, B63, $E$2:$E$66)</f>
        <v>0.83333333333333337</v>
      </c>
      <c r="H63" s="29">
        <f>SUMIF($B$2:$B$66, B63, $F$2:$F$66) / SUM(F$2:$F$66)</f>
        <v>3.7558685446009391E-2</v>
      </c>
    </row>
    <row r="64" spans="1:8" ht="125.4" thickBot="1" x14ac:dyDescent="0.35">
      <c r="A64" s="1">
        <v>63</v>
      </c>
      <c r="B64" s="2" t="s">
        <v>9</v>
      </c>
      <c r="C64" s="16" t="s">
        <v>97</v>
      </c>
      <c r="D64" s="34" t="s">
        <v>101</v>
      </c>
      <c r="E64" s="27" cm="1">
        <f t="array" ref="E64">_xlfn.SWITCH(D64,"d",1,"c",0.75,"b",0.5,"a", 0.25)</f>
        <v>0.5</v>
      </c>
      <c r="F64" s="34">
        <v>3</v>
      </c>
      <c r="G64" s="28">
        <f>AVERAGEIF(B$2:$B$66, B64, $E$2:$E$66)</f>
        <v>0.58333333333333337</v>
      </c>
      <c r="H64" s="29">
        <f>SUMIF($B$2:$B$66, B64, $F$2:$F$66) / SUM(F$2:$F$66)</f>
        <v>4.6948356807511735E-2</v>
      </c>
    </row>
    <row r="65" spans="1:8" ht="156.6" thickBot="1" x14ac:dyDescent="0.35">
      <c r="A65" s="1">
        <v>64</v>
      </c>
      <c r="B65" s="2" t="s">
        <v>10</v>
      </c>
      <c r="C65" s="16" t="s">
        <v>98</v>
      </c>
      <c r="D65" s="34" t="s">
        <v>101</v>
      </c>
      <c r="E65" s="27" cm="1">
        <f t="array" ref="E65">_xlfn.SWITCH(D65,"d",1,"c",0.75,"b",0.5,"a", 0.25)</f>
        <v>0.5</v>
      </c>
      <c r="F65" s="34">
        <v>5</v>
      </c>
      <c r="G65" s="28">
        <f>AVERAGEIF(B$2:$B$66, B65, $E$2:$E$66)</f>
        <v>0.5</v>
      </c>
      <c r="H65" s="29">
        <f>SUMIF($B$2:$B$66, B65, $F$2:$F$66) / SUM(F$2:$F$66)</f>
        <v>6.1032863849765258E-2</v>
      </c>
    </row>
    <row r="66" spans="1:8" ht="125.4" thickBot="1" x14ac:dyDescent="0.35">
      <c r="A66" s="3">
        <v>65</v>
      </c>
      <c r="B66" s="4" t="s">
        <v>15</v>
      </c>
      <c r="C66" s="17" t="s">
        <v>99</v>
      </c>
      <c r="D66" s="34" t="s">
        <v>101</v>
      </c>
      <c r="E66" s="27" cm="1">
        <f t="array" ref="E66">_xlfn.SWITCH(D66,"d",1,"c",0.75,"b",0.5,"a", 0.25)</f>
        <v>0.5</v>
      </c>
      <c r="F66" s="34">
        <v>3</v>
      </c>
      <c r="G66" s="28">
        <f>AVERAGEIF(B$2:$B$66, B66, $E$2:$E$66)</f>
        <v>0.5</v>
      </c>
      <c r="H66" s="29">
        <f>SUMIF($B$2:$B$66, B66, $F$2:$F$66) / SUM(F$2:$F$66)</f>
        <v>1.4084507042253521E-2</v>
      </c>
    </row>
    <row r="68" spans="1:8" ht="15.6" x14ac:dyDescent="0.3">
      <c r="B68" s="33" t="s">
        <v>121</v>
      </c>
    </row>
  </sheetData>
  <sheetProtection algorithmName="SHA-512" hashValue="vbmUjodeeXougOlqfo2IXUlmRcK0GiA56JV4AuPcrsydkHQceEHvHE86/MnCvhqjbWuk7kK5CBblGy7x0dRVqQ==" saltValue="4aNnyAOxLrOBgOfkf8x0MA==" spinCount="100000" sheet="1" objects="1" scenarios="1"/>
  <dataValidations count="2">
    <dataValidation type="list" allowBlank="1" showInputMessage="1" showErrorMessage="1" promptTitle="Organizational Input" prompt="Select one from 4 options a,b,c,d" sqref="D2:D66" xr:uid="{53ADDEB5-1C5C-4E9E-9EBC-4222AF262646}">
      <formula1>"a,b,c,d"</formula1>
    </dataValidation>
    <dataValidation type="list" allowBlank="1" showInputMessage="1" showErrorMessage="1" sqref="F2:F66" xr:uid="{60B9173A-33B3-4AEF-A787-3CAC652FF6BC}">
      <formula1>"1,2,3,4,5"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065F-3BD3-472D-887F-B8D6140A877C}">
  <dimension ref="A1:O58"/>
  <sheetViews>
    <sheetView tabSelected="1" workbookViewId="0">
      <selection activeCell="A58" sqref="A58"/>
    </sheetView>
  </sheetViews>
  <sheetFormatPr defaultRowHeight="14.4" x14ac:dyDescent="0.3"/>
  <cols>
    <col min="1" max="1" width="57.109375" customWidth="1"/>
    <col min="2" max="2" width="27.6640625" customWidth="1"/>
    <col min="3" max="3" width="27.109375" customWidth="1"/>
    <col min="4" max="4" width="12.21875" customWidth="1"/>
    <col min="5" max="5" width="12.5546875" customWidth="1"/>
    <col min="6" max="6" width="10.5546875" customWidth="1"/>
    <col min="7" max="7" width="13.88671875" customWidth="1"/>
    <col min="8" max="8" width="7.88671875" customWidth="1"/>
    <col min="9" max="9" width="11.6640625" customWidth="1"/>
    <col min="10" max="10" width="10.33203125" customWidth="1"/>
    <col min="11" max="11" width="11" customWidth="1"/>
    <col min="13" max="13" width="11.77734375" customWidth="1"/>
    <col min="14" max="14" width="12.21875" customWidth="1"/>
    <col min="15" max="15" width="16" customWidth="1"/>
  </cols>
  <sheetData>
    <row r="1" spans="1:15" ht="77.400000000000006" customHeight="1" x14ac:dyDescent="0.3">
      <c r="A1" s="19" t="s">
        <v>24</v>
      </c>
      <c r="B1" s="19" t="s">
        <v>104</v>
      </c>
      <c r="C1" s="19" t="s">
        <v>107</v>
      </c>
      <c r="D1" s="19" t="s">
        <v>117</v>
      </c>
      <c r="E1" s="21" t="s">
        <v>108</v>
      </c>
      <c r="F1" s="19" t="s">
        <v>112</v>
      </c>
      <c r="G1" s="21" t="s">
        <v>109</v>
      </c>
      <c r="H1" s="19" t="s">
        <v>113</v>
      </c>
      <c r="I1" s="19" t="s">
        <v>110</v>
      </c>
      <c r="J1" s="19" t="s">
        <v>114</v>
      </c>
      <c r="K1" s="19" t="s">
        <v>111</v>
      </c>
      <c r="L1" s="19" t="s">
        <v>115</v>
      </c>
      <c r="M1" s="19" t="s">
        <v>118</v>
      </c>
      <c r="N1" s="19" t="s">
        <v>116</v>
      </c>
      <c r="O1" s="19" t="s">
        <v>119</v>
      </c>
    </row>
    <row r="2" spans="1:15" ht="18" x14ac:dyDescent="0.35">
      <c r="A2" s="20" t="s">
        <v>0</v>
      </c>
      <c r="B2" s="30">
        <f>AVERAGEIF(User_Responses!$B$2:$B$66, A2, User_Responses!$G$2:$G$66)</f>
        <v>0.58333333333333337</v>
      </c>
      <c r="C2" s="30">
        <f>SUMIF(User_Responses!$B$2:$B$66, A2, User_Responses!$H$2:$H$66) / SUM(User_Responses!H$2:$H$66)</f>
        <v>6.2857142857142903E-2</v>
      </c>
      <c r="D2" s="30">
        <f>_xlfn.XLOOKUP(A2, Platform_DB!$B$1:$Z$1, Platform_DB!$B$2:$Z$2)</f>
        <v>1</v>
      </c>
      <c r="E2" s="31">
        <f>1-ABS(B2-D2)</f>
        <v>0.58333333333333337</v>
      </c>
      <c r="F2" s="30">
        <f>_xlfn.XLOOKUP(A2, Platform_DB!$B$1:$Z$1, Platform_DB!$B$3:$Z$3)</f>
        <v>0.9</v>
      </c>
      <c r="G2" s="30">
        <f>1-ABS(B2-F2)</f>
        <v>0.68333333333333335</v>
      </c>
      <c r="H2" s="30">
        <f>_xlfn.XLOOKUP(A2, Platform_DB!$B$1:$Z$1, Platform_DB!$B$4:$Z$4)</f>
        <v>0.8</v>
      </c>
      <c r="I2" s="30">
        <f>1-ABS(B2-H2)</f>
        <v>0.78333333333333333</v>
      </c>
      <c r="J2" s="30">
        <f>_xlfn.XLOOKUP(A2, Platform_DB!$B$1:$Z$1, Platform_DB!$B$5:$Z$5)</f>
        <v>0.6</v>
      </c>
      <c r="K2" s="30">
        <f>1-ABS(B2-J2)</f>
        <v>0.98333333333333339</v>
      </c>
      <c r="L2" s="30">
        <f>_xlfn.XLOOKUP(A2, Platform_DB!$B$1:$Z$1, Platform_DB!$B$6:$Z$6)</f>
        <v>0.5</v>
      </c>
      <c r="M2" s="30">
        <f>1-ABS(B2-L2)</f>
        <v>0.91666666666666663</v>
      </c>
      <c r="N2" s="30">
        <f>_xlfn.XLOOKUP(A2, Platform_DB!$B$1:$Z$1, Platform_DB!$B$7:$Z$7)</f>
        <v>0.6</v>
      </c>
      <c r="O2" s="30">
        <f>1-ABS(B2-N2)</f>
        <v>0.98333333333333339</v>
      </c>
    </row>
    <row r="3" spans="1:15" ht="18" x14ac:dyDescent="0.35">
      <c r="A3" s="20" t="s">
        <v>1</v>
      </c>
      <c r="B3" s="30">
        <f>AVERAGEIF(User_Responses!$B$2:$B$66, A3, User_Responses!$G$2:$G$66)</f>
        <v>0.66666666666666663</v>
      </c>
      <c r="C3" s="30">
        <f>SUMIF(User_Responses!$B$2:$B$66, A3, User_Responses!$H$2:$H$66) / SUM(User_Responses!H$2:$H$66)</f>
        <v>6.2857142857142903E-2</v>
      </c>
      <c r="D3" s="30">
        <f>_xlfn.XLOOKUP(A3, Platform_DB!$B$1:$Z$1, Platform_DB!$B$2:$Z$2)</f>
        <v>0.7</v>
      </c>
      <c r="E3" s="31">
        <f t="shared" ref="E3:E22" si="0">1-ABS(B3-D3)</f>
        <v>0.96666666666666667</v>
      </c>
      <c r="F3" s="30">
        <f>_xlfn.XLOOKUP(A3, Platform_DB!$B$1:$Z$1, Platform_DB!$B$3:$Z$3)</f>
        <v>0.8</v>
      </c>
      <c r="G3" s="30">
        <f t="shared" ref="G3:G22" si="1">1-ABS(B3-F3)</f>
        <v>0.86666666666666659</v>
      </c>
      <c r="H3" s="30">
        <f>_xlfn.XLOOKUP(A3, Platform_DB!$B$1:$Z$1, Platform_DB!$B$4:$Z$4)</f>
        <v>0.9</v>
      </c>
      <c r="I3" s="30">
        <f t="shared" ref="I3:I22" si="2">1-ABS(B3-H3)</f>
        <v>0.76666666666666661</v>
      </c>
      <c r="J3" s="30">
        <f>_xlfn.XLOOKUP(A3, Platform_DB!$B$1:$Z$1, Platform_DB!$B$5:$Z$5)</f>
        <v>1</v>
      </c>
      <c r="K3" s="30">
        <f t="shared" ref="K3:K22" si="3">1-ABS(B3-J3)</f>
        <v>0.66666666666666663</v>
      </c>
      <c r="L3" s="30">
        <f>_xlfn.XLOOKUP(A3, Platform_DB!$B$1:$Z$1, Platform_DB!$B$6:$Z$6)</f>
        <v>0.7</v>
      </c>
      <c r="M3" s="30">
        <f t="shared" ref="M3:M22" si="4">1-ABS(B3-L3)</f>
        <v>0.96666666666666667</v>
      </c>
      <c r="N3" s="30">
        <f>_xlfn.XLOOKUP(A3, Platform_DB!$B$1:$Z$1, Platform_DB!$B$7:$Z$7)</f>
        <v>0.8</v>
      </c>
      <c r="O3" s="30">
        <f t="shared" ref="O3:O22" si="5">1-ABS(B3-N3)</f>
        <v>0.86666666666666659</v>
      </c>
    </row>
    <row r="4" spans="1:15" ht="18" x14ac:dyDescent="0.35">
      <c r="A4" s="20" t="s">
        <v>2</v>
      </c>
      <c r="B4" s="30">
        <f>AVERAGEIF(User_Responses!$B$2:$B$66, A4, User_Responses!$G$2:$G$66)</f>
        <v>0.5</v>
      </c>
      <c r="C4" s="30">
        <f>SUMIF(User_Responses!$B$2:$B$66, A4, User_Responses!$H$2:$H$66) / SUM(User_Responses!H$2:$H$66)</f>
        <v>6.8571428571428616E-2</v>
      </c>
      <c r="D4" s="30">
        <f>_xlfn.XLOOKUP(A4, Platform_DB!$B$1:$Z$1, Platform_DB!$B$2:$Z$2)</f>
        <v>1</v>
      </c>
      <c r="E4" s="31">
        <f t="shared" si="0"/>
        <v>0.5</v>
      </c>
      <c r="F4" s="30">
        <f>_xlfn.XLOOKUP(A4, Platform_DB!$B$1:$Z$1, Platform_DB!$B$3:$Z$3)</f>
        <v>1</v>
      </c>
      <c r="G4" s="30">
        <f t="shared" si="1"/>
        <v>0.5</v>
      </c>
      <c r="H4" s="30">
        <f>_xlfn.XLOOKUP(A4, Platform_DB!$B$1:$Z$1, Platform_DB!$B$4:$Z$4)</f>
        <v>0.8</v>
      </c>
      <c r="I4" s="30">
        <f t="shared" si="2"/>
        <v>0.7</v>
      </c>
      <c r="J4" s="30">
        <f>_xlfn.XLOOKUP(A4, Platform_DB!$B$1:$Z$1, Platform_DB!$B$5:$Z$5)</f>
        <v>0.7</v>
      </c>
      <c r="K4" s="30">
        <f t="shared" si="3"/>
        <v>0.8</v>
      </c>
      <c r="L4" s="30">
        <f>_xlfn.XLOOKUP(A4, Platform_DB!$B$1:$Z$1, Platform_DB!$B$6:$Z$6)</f>
        <v>0.7</v>
      </c>
      <c r="M4" s="30">
        <f t="shared" si="4"/>
        <v>0.8</v>
      </c>
      <c r="N4" s="30">
        <f>_xlfn.XLOOKUP(A4, Platform_DB!$B$1:$Z$1, Platform_DB!$B$7:$Z$7)</f>
        <v>0.8</v>
      </c>
      <c r="O4" s="30">
        <f t="shared" si="5"/>
        <v>0.7</v>
      </c>
    </row>
    <row r="5" spans="1:15" ht="18" x14ac:dyDescent="0.35">
      <c r="A5" s="20" t="s">
        <v>3</v>
      </c>
      <c r="B5" s="30">
        <f>AVERAGEIF(User_Responses!$B$2:$B$66, A5, User_Responses!$G$2:$G$66)</f>
        <v>0.66666666666666663</v>
      </c>
      <c r="C5" s="30">
        <f>SUMIF(User_Responses!$B$2:$B$66, A5, User_Responses!$H$2:$H$66) / SUM(User_Responses!H$2:$H$66)</f>
        <v>5.1428571428571462E-2</v>
      </c>
      <c r="D5" s="30">
        <f>_xlfn.XLOOKUP(A5, Platform_DB!$B$1:$Z$1, Platform_DB!$B$2:$Z$2)</f>
        <v>1</v>
      </c>
      <c r="E5" s="31">
        <f t="shared" si="0"/>
        <v>0.66666666666666663</v>
      </c>
      <c r="F5" s="30">
        <f>_xlfn.XLOOKUP(A5, Platform_DB!$B$1:$Z$1, Platform_DB!$B$3:$Z$3)</f>
        <v>1</v>
      </c>
      <c r="G5" s="30">
        <f t="shared" si="1"/>
        <v>0.66666666666666663</v>
      </c>
      <c r="H5" s="30">
        <f>_xlfn.XLOOKUP(A5, Platform_DB!$B$1:$Z$1, Platform_DB!$B$4:$Z$4)</f>
        <v>0.9</v>
      </c>
      <c r="I5" s="30">
        <f t="shared" si="2"/>
        <v>0.76666666666666661</v>
      </c>
      <c r="J5" s="30">
        <f>_xlfn.XLOOKUP(A5, Platform_DB!$B$1:$Z$1, Platform_DB!$B$5:$Z$5)</f>
        <v>0.9</v>
      </c>
      <c r="K5" s="30">
        <f t="shared" si="3"/>
        <v>0.76666666666666661</v>
      </c>
      <c r="L5" s="30">
        <f>_xlfn.XLOOKUP(A5, Platform_DB!$B$1:$Z$1, Platform_DB!$B$6:$Z$6)</f>
        <v>1</v>
      </c>
      <c r="M5" s="30">
        <f t="shared" si="4"/>
        <v>0.66666666666666663</v>
      </c>
      <c r="N5" s="30">
        <f>_xlfn.XLOOKUP(A5, Platform_DB!$B$1:$Z$1, Platform_DB!$B$7:$Z$7)</f>
        <v>0.7</v>
      </c>
      <c r="O5" s="30">
        <f t="shared" si="5"/>
        <v>0.96666666666666667</v>
      </c>
    </row>
    <row r="6" spans="1:15" ht="18" x14ac:dyDescent="0.35">
      <c r="A6" s="20" t="s">
        <v>4</v>
      </c>
      <c r="B6" s="30">
        <f>AVERAGEIF(User_Responses!$B$2:$B$66, A6, User_Responses!$G$2:$G$66)</f>
        <v>0.5</v>
      </c>
      <c r="C6" s="30">
        <f>SUMIF(User_Responses!$B$2:$B$66, A6, User_Responses!$H$2:$H$66) / SUM(User_Responses!H$2:$H$66)</f>
        <v>2.6666666666666686E-2</v>
      </c>
      <c r="D6" s="30">
        <f>_xlfn.XLOOKUP(A6, Platform_DB!$B$1:$Z$1, Platform_DB!$B$2:$Z$2)</f>
        <v>0.8</v>
      </c>
      <c r="E6" s="31">
        <f t="shared" si="0"/>
        <v>0.7</v>
      </c>
      <c r="F6" s="30">
        <f>_xlfn.XLOOKUP(A6, Platform_DB!$B$1:$Z$1, Platform_DB!$B$3:$Z$3)</f>
        <v>1</v>
      </c>
      <c r="G6" s="30">
        <f t="shared" si="1"/>
        <v>0.5</v>
      </c>
      <c r="H6" s="30">
        <f>_xlfn.XLOOKUP(A6, Platform_DB!$B$1:$Z$1, Platform_DB!$B$4:$Z$4)</f>
        <v>0.8</v>
      </c>
      <c r="I6" s="30">
        <f t="shared" si="2"/>
        <v>0.7</v>
      </c>
      <c r="J6" s="30">
        <f>_xlfn.XLOOKUP(A6, Platform_DB!$B$1:$Z$1, Platform_DB!$B$5:$Z$5)</f>
        <v>0.7</v>
      </c>
      <c r="K6" s="30">
        <f t="shared" si="3"/>
        <v>0.8</v>
      </c>
      <c r="L6" s="30">
        <f>_xlfn.XLOOKUP(A6, Platform_DB!$B$1:$Z$1, Platform_DB!$B$6:$Z$6)</f>
        <v>0.9</v>
      </c>
      <c r="M6" s="30">
        <f t="shared" si="4"/>
        <v>0.6</v>
      </c>
      <c r="N6" s="30">
        <f>_xlfn.XLOOKUP(A6, Platform_DB!$B$1:$Z$1, Platform_DB!$B$7:$Z$7)</f>
        <v>0.7</v>
      </c>
      <c r="O6" s="30">
        <f t="shared" si="5"/>
        <v>0.8</v>
      </c>
    </row>
    <row r="7" spans="1:15" ht="18" x14ac:dyDescent="0.35">
      <c r="A7" s="20" t="s">
        <v>5</v>
      </c>
      <c r="B7" s="30">
        <f>AVERAGEIF(User_Responses!$B$2:$B$66, A7, User_Responses!$G$2:$G$66)</f>
        <v>0.75</v>
      </c>
      <c r="C7" s="30">
        <f>SUMIF(User_Responses!$B$2:$B$66, A7, User_Responses!$H$2:$H$66) / SUM(User_Responses!H$2:$H$66)</f>
        <v>5.7142857142857169E-2</v>
      </c>
      <c r="D7" s="30">
        <f>_xlfn.XLOOKUP(A7, Platform_DB!$B$1:$Z$1, Platform_DB!$B$2:$Z$2)</f>
        <v>0.7</v>
      </c>
      <c r="E7" s="31">
        <f t="shared" si="0"/>
        <v>0.95</v>
      </c>
      <c r="F7" s="30">
        <f>_xlfn.XLOOKUP(A7, Platform_DB!$B$1:$Z$1, Platform_DB!$B$3:$Z$3)</f>
        <v>1</v>
      </c>
      <c r="G7" s="30">
        <f t="shared" si="1"/>
        <v>0.75</v>
      </c>
      <c r="H7" s="30">
        <f>_xlfn.XLOOKUP(A7, Platform_DB!$B$1:$Z$1, Platform_DB!$B$4:$Z$4)</f>
        <v>0.8</v>
      </c>
      <c r="I7" s="30">
        <f t="shared" si="2"/>
        <v>0.95</v>
      </c>
      <c r="J7" s="30">
        <f>_xlfn.XLOOKUP(A7, Platform_DB!$B$1:$Z$1, Platform_DB!$B$5:$Z$5)</f>
        <v>0.9</v>
      </c>
      <c r="K7" s="30">
        <f t="shared" si="3"/>
        <v>0.85</v>
      </c>
      <c r="L7" s="30">
        <f>_xlfn.XLOOKUP(A7, Platform_DB!$B$1:$Z$1, Platform_DB!$B$6:$Z$6)</f>
        <v>0.8</v>
      </c>
      <c r="M7" s="30">
        <f t="shared" si="4"/>
        <v>0.95</v>
      </c>
      <c r="N7" s="30">
        <f>_xlfn.XLOOKUP(A7, Platform_DB!$B$1:$Z$1, Platform_DB!$B$7:$Z$7)</f>
        <v>0.7</v>
      </c>
      <c r="O7" s="30">
        <f t="shared" si="5"/>
        <v>0.95</v>
      </c>
    </row>
    <row r="8" spans="1:15" ht="18" x14ac:dyDescent="0.35">
      <c r="A8" s="20" t="s">
        <v>6</v>
      </c>
      <c r="B8" s="30">
        <f>AVERAGEIF(User_Responses!$B$2:$B$66, A8, User_Responses!$G$2:$G$66)</f>
        <v>0.58333333333333337</v>
      </c>
      <c r="C8" s="30">
        <f>SUMIF(User_Responses!$B$2:$B$66, A8, User_Responses!$H$2:$H$66) / SUM(User_Responses!H$2:$H$66)</f>
        <v>5.7142857142857169E-2</v>
      </c>
      <c r="D8" s="30">
        <f>_xlfn.XLOOKUP(A8, Platform_DB!$B$1:$Z$1, Platform_DB!$B$2:$Z$2)</f>
        <v>1</v>
      </c>
      <c r="E8" s="31">
        <f t="shared" si="0"/>
        <v>0.58333333333333337</v>
      </c>
      <c r="F8" s="30">
        <f>_xlfn.XLOOKUP(A8, Platform_DB!$B$1:$Z$1, Platform_DB!$B$3:$Z$3)</f>
        <v>0.9</v>
      </c>
      <c r="G8" s="30">
        <f t="shared" si="1"/>
        <v>0.68333333333333335</v>
      </c>
      <c r="H8" s="30">
        <f>_xlfn.XLOOKUP(A8, Platform_DB!$B$1:$Z$1, Platform_DB!$B$4:$Z$4)</f>
        <v>1</v>
      </c>
      <c r="I8" s="30">
        <f t="shared" si="2"/>
        <v>0.58333333333333337</v>
      </c>
      <c r="J8" s="30">
        <f>_xlfn.XLOOKUP(A8, Platform_DB!$B$1:$Z$1, Platform_DB!$B$5:$Z$5)</f>
        <v>0.7</v>
      </c>
      <c r="K8" s="30">
        <f t="shared" si="3"/>
        <v>0.88333333333333341</v>
      </c>
      <c r="L8" s="30">
        <f>_xlfn.XLOOKUP(A8, Platform_DB!$B$1:$Z$1, Platform_DB!$B$6:$Z$6)</f>
        <v>0.7</v>
      </c>
      <c r="M8" s="30">
        <f t="shared" si="4"/>
        <v>0.88333333333333341</v>
      </c>
      <c r="N8" s="30">
        <f>_xlfn.XLOOKUP(A8, Platform_DB!$B$1:$Z$1, Platform_DB!$B$7:$Z$7)</f>
        <v>0.7</v>
      </c>
      <c r="O8" s="30">
        <f t="shared" si="5"/>
        <v>0.88333333333333341</v>
      </c>
    </row>
    <row r="9" spans="1:15" ht="18" x14ac:dyDescent="0.35">
      <c r="A9" s="20" t="s">
        <v>7</v>
      </c>
      <c r="B9" s="30">
        <f>AVERAGEIF(User_Responses!$B$2:$B$66, A9, User_Responses!$G$2:$G$66)</f>
        <v>0.66666666666666663</v>
      </c>
      <c r="C9" s="30">
        <f>SUMIF(User_Responses!$B$2:$B$66, A9, User_Responses!$H$2:$H$66) / SUM(User_Responses!H$2:$H$66)</f>
        <v>5.7142857142857169E-2</v>
      </c>
      <c r="D9" s="30">
        <f>_xlfn.XLOOKUP(A9, Platform_DB!$B$1:$Z$1, Platform_DB!$B$2:$Z$2)</f>
        <v>1</v>
      </c>
      <c r="E9" s="31">
        <f t="shared" si="0"/>
        <v>0.66666666666666663</v>
      </c>
      <c r="F9" s="30">
        <f>_xlfn.XLOOKUP(A9, Platform_DB!$B$1:$Z$1, Platform_DB!$B$3:$Z$3)</f>
        <v>0.9</v>
      </c>
      <c r="G9" s="30">
        <f t="shared" si="1"/>
        <v>0.76666666666666661</v>
      </c>
      <c r="H9" s="30">
        <f>_xlfn.XLOOKUP(A9, Platform_DB!$B$1:$Z$1, Platform_DB!$B$4:$Z$4)</f>
        <v>1</v>
      </c>
      <c r="I9" s="30">
        <f t="shared" si="2"/>
        <v>0.66666666666666663</v>
      </c>
      <c r="J9" s="30">
        <f>_xlfn.XLOOKUP(A9, Platform_DB!$B$1:$Z$1, Platform_DB!$B$5:$Z$5)</f>
        <v>0.9</v>
      </c>
      <c r="K9" s="30">
        <f t="shared" si="3"/>
        <v>0.76666666666666661</v>
      </c>
      <c r="L9" s="30">
        <f>_xlfn.XLOOKUP(A9, Platform_DB!$B$1:$Z$1, Platform_DB!$B$6:$Z$6)</f>
        <v>0.7</v>
      </c>
      <c r="M9" s="30">
        <f t="shared" si="4"/>
        <v>0.96666666666666667</v>
      </c>
      <c r="N9" s="30">
        <f>_xlfn.XLOOKUP(A9, Platform_DB!$B$1:$Z$1, Platform_DB!$B$7:$Z$7)</f>
        <v>0.8</v>
      </c>
      <c r="O9" s="30">
        <f t="shared" si="5"/>
        <v>0.86666666666666659</v>
      </c>
    </row>
    <row r="10" spans="1:15" ht="18" x14ac:dyDescent="0.35">
      <c r="A10" s="20" t="s">
        <v>8</v>
      </c>
      <c r="B10" s="30">
        <f>AVERAGEIF(User_Responses!$B$2:$B$66, A10, User_Responses!$G$2:$G$66)</f>
        <v>0.83333333333333337</v>
      </c>
      <c r="C10" s="30">
        <f>SUMIF(User_Responses!$B$2:$B$66, A10, User_Responses!$H$2:$H$66) / SUM(User_Responses!H$2:$H$66)</f>
        <v>4.5714285714285742E-2</v>
      </c>
      <c r="D10" s="30">
        <f>_xlfn.XLOOKUP(A10, Platform_DB!$B$1:$Z$1, Platform_DB!$B$2:$Z$2)</f>
        <v>1</v>
      </c>
      <c r="E10" s="31">
        <f t="shared" si="0"/>
        <v>0.83333333333333337</v>
      </c>
      <c r="F10" s="30">
        <f>_xlfn.XLOOKUP(A10, Platform_DB!$B$1:$Z$1, Platform_DB!$B$3:$Z$3)</f>
        <v>0.9</v>
      </c>
      <c r="G10" s="30">
        <f t="shared" si="1"/>
        <v>0.93333333333333335</v>
      </c>
      <c r="H10" s="30">
        <f>_xlfn.XLOOKUP(A10, Platform_DB!$B$1:$Z$1, Platform_DB!$B$4:$Z$4)</f>
        <v>0.9</v>
      </c>
      <c r="I10" s="30">
        <f t="shared" si="2"/>
        <v>0.93333333333333335</v>
      </c>
      <c r="J10" s="30">
        <f>_xlfn.XLOOKUP(A10, Platform_DB!$B$1:$Z$1, Platform_DB!$B$5:$Z$5)</f>
        <v>0.9</v>
      </c>
      <c r="K10" s="30">
        <f t="shared" si="3"/>
        <v>0.93333333333333335</v>
      </c>
      <c r="L10" s="30">
        <f>_xlfn.XLOOKUP(A10, Platform_DB!$B$1:$Z$1, Platform_DB!$B$6:$Z$6)</f>
        <v>0.7</v>
      </c>
      <c r="M10" s="30">
        <f t="shared" si="4"/>
        <v>0.86666666666666659</v>
      </c>
      <c r="N10" s="30">
        <f>_xlfn.XLOOKUP(A10, Platform_DB!$B$1:$Z$1, Platform_DB!$B$7:$Z$7)</f>
        <v>0.8</v>
      </c>
      <c r="O10" s="30">
        <f t="shared" si="5"/>
        <v>0.96666666666666667</v>
      </c>
    </row>
    <row r="11" spans="1:15" ht="18" x14ac:dyDescent="0.35">
      <c r="A11" s="20" t="s">
        <v>9</v>
      </c>
      <c r="B11" s="30">
        <f>AVERAGEIF(User_Responses!$B$2:$B$66, A11, User_Responses!$G$2:$G$66)</f>
        <v>0.58333333333333337</v>
      </c>
      <c r="C11" s="30">
        <f>SUMIF(User_Responses!$B$2:$B$66, A11, User_Responses!$H$2:$H$66) / SUM(User_Responses!H$2:$H$66)</f>
        <v>5.7142857142857169E-2</v>
      </c>
      <c r="D11" s="30">
        <f>_xlfn.XLOOKUP(A11, Platform_DB!$B$1:$Z$1, Platform_DB!$B$2:$Z$2)</f>
        <v>1</v>
      </c>
      <c r="E11" s="31">
        <f t="shared" si="0"/>
        <v>0.58333333333333337</v>
      </c>
      <c r="F11" s="30">
        <f>_xlfn.XLOOKUP(A11, Platform_DB!$B$1:$Z$1, Platform_DB!$B$3:$Z$3)</f>
        <v>0.9</v>
      </c>
      <c r="G11" s="30">
        <f t="shared" si="1"/>
        <v>0.68333333333333335</v>
      </c>
      <c r="H11" s="30">
        <f>_xlfn.XLOOKUP(A11, Platform_DB!$B$1:$Z$1, Platform_DB!$B$4:$Z$4)</f>
        <v>0.9</v>
      </c>
      <c r="I11" s="30">
        <f t="shared" si="2"/>
        <v>0.68333333333333335</v>
      </c>
      <c r="J11" s="30">
        <f>_xlfn.XLOOKUP(A11, Platform_DB!$B$1:$Z$1, Platform_DB!$B$5:$Z$5)</f>
        <v>0.8</v>
      </c>
      <c r="K11" s="30">
        <f t="shared" si="3"/>
        <v>0.78333333333333333</v>
      </c>
      <c r="L11" s="30">
        <f>_xlfn.XLOOKUP(A11, Platform_DB!$B$1:$Z$1, Platform_DB!$B$6:$Z$6)</f>
        <v>0.8</v>
      </c>
      <c r="M11" s="30">
        <f t="shared" si="4"/>
        <v>0.78333333333333333</v>
      </c>
      <c r="N11" s="30">
        <f>_xlfn.XLOOKUP(A11, Platform_DB!$B$1:$Z$1, Platform_DB!$B$7:$Z$7)</f>
        <v>0.8</v>
      </c>
      <c r="O11" s="30">
        <f t="shared" si="5"/>
        <v>0.78333333333333333</v>
      </c>
    </row>
    <row r="12" spans="1:15" ht="18" x14ac:dyDescent="0.35">
      <c r="A12" s="20" t="s">
        <v>10</v>
      </c>
      <c r="B12" s="30">
        <f>AVERAGEIF(User_Responses!$B$2:$B$66, A12, User_Responses!$G$2:$G$66)</f>
        <v>0.5</v>
      </c>
      <c r="C12" s="30">
        <f>SUMIF(User_Responses!$B$2:$B$66, A12, User_Responses!$H$2:$H$66) / SUM(User_Responses!H$2:$H$66)</f>
        <v>7.428571428571433E-2</v>
      </c>
      <c r="D12" s="30">
        <f>_xlfn.XLOOKUP(A12, Platform_DB!$B$1:$Z$1, Platform_DB!$B$2:$Z$2)</f>
        <v>0.5</v>
      </c>
      <c r="E12" s="31">
        <f t="shared" si="0"/>
        <v>1</v>
      </c>
      <c r="F12" s="30">
        <f>_xlfn.XLOOKUP(A12, Platform_DB!$B$1:$Z$1, Platform_DB!$B$3:$Z$3)</f>
        <v>0.6</v>
      </c>
      <c r="G12" s="30">
        <f t="shared" si="1"/>
        <v>0.9</v>
      </c>
      <c r="H12" s="30">
        <f>_xlfn.XLOOKUP(A12, Platform_DB!$B$1:$Z$1, Platform_DB!$B$4:$Z$4)</f>
        <v>0.8</v>
      </c>
      <c r="I12" s="30">
        <f t="shared" si="2"/>
        <v>0.7</v>
      </c>
      <c r="J12" s="30">
        <f>_xlfn.XLOOKUP(A12, Platform_DB!$B$1:$Z$1, Platform_DB!$B$5:$Z$5)</f>
        <v>0.7</v>
      </c>
      <c r="K12" s="30">
        <f t="shared" si="3"/>
        <v>0.8</v>
      </c>
      <c r="L12" s="30">
        <f>_xlfn.XLOOKUP(A12, Platform_DB!$B$1:$Z$1, Platform_DB!$B$6:$Z$6)</f>
        <v>0.7</v>
      </c>
      <c r="M12" s="30">
        <f t="shared" si="4"/>
        <v>0.8</v>
      </c>
      <c r="N12" s="30">
        <f>_xlfn.XLOOKUP(A12, Platform_DB!$B$1:$Z$1, Platform_DB!$B$7:$Z$7)</f>
        <v>0.5</v>
      </c>
      <c r="O12" s="30">
        <f t="shared" si="5"/>
        <v>1</v>
      </c>
    </row>
    <row r="13" spans="1:15" ht="18" x14ac:dyDescent="0.35">
      <c r="A13" s="20" t="s">
        <v>11</v>
      </c>
      <c r="B13" s="30">
        <f>AVERAGEIF(User_Responses!$B$2:$B$66, A13, User_Responses!$G$2:$G$66)</f>
        <v>1</v>
      </c>
      <c r="C13" s="30">
        <f>SUMIF(User_Responses!$B$2:$B$66, A13, User_Responses!$H$2:$H$66) / SUM(User_Responses!H$2:$H$66)</f>
        <v>3.0476190476190497E-2</v>
      </c>
      <c r="D13" s="30">
        <f>_xlfn.XLOOKUP(A13, Platform_DB!$B$1:$Z$1, Platform_DB!$B$2:$Z$2)</f>
        <v>0.9</v>
      </c>
      <c r="E13" s="31">
        <f t="shared" si="0"/>
        <v>0.9</v>
      </c>
      <c r="F13" s="30">
        <f>_xlfn.XLOOKUP(A13, Platform_DB!$B$1:$Z$1, Platform_DB!$B$3:$Z$3)</f>
        <v>0.9</v>
      </c>
      <c r="G13" s="30">
        <f t="shared" si="1"/>
        <v>0.9</v>
      </c>
      <c r="H13" s="30">
        <f>_xlfn.XLOOKUP(A13, Platform_DB!$B$1:$Z$1, Platform_DB!$B$4:$Z$4)</f>
        <v>0.8</v>
      </c>
      <c r="I13" s="30">
        <f t="shared" si="2"/>
        <v>0.8</v>
      </c>
      <c r="J13" s="30">
        <f>_xlfn.XLOOKUP(A13, Platform_DB!$B$1:$Z$1, Platform_DB!$B$5:$Z$5)</f>
        <v>0.7</v>
      </c>
      <c r="K13" s="30">
        <f t="shared" si="3"/>
        <v>0.7</v>
      </c>
      <c r="L13" s="30">
        <f>_xlfn.XLOOKUP(A13, Platform_DB!$B$1:$Z$1, Platform_DB!$B$6:$Z$6)</f>
        <v>0.7</v>
      </c>
      <c r="M13" s="30">
        <f t="shared" si="4"/>
        <v>0.7</v>
      </c>
      <c r="N13" s="30">
        <f>_xlfn.XLOOKUP(A13, Platform_DB!$B$1:$Z$1, Platform_DB!$B$7:$Z$7)</f>
        <v>0.7</v>
      </c>
      <c r="O13" s="30">
        <f t="shared" si="5"/>
        <v>0.7</v>
      </c>
    </row>
    <row r="14" spans="1:15" ht="18" x14ac:dyDescent="0.35">
      <c r="A14" s="20" t="s">
        <v>12</v>
      </c>
      <c r="B14" s="30">
        <f>AVERAGEIF(User_Responses!$B$2:$B$66, A14, User_Responses!$G$2:$G$66)</f>
        <v>1</v>
      </c>
      <c r="C14" s="30">
        <f>SUMIF(User_Responses!$B$2:$B$66, A14, User_Responses!$H$2:$H$66) / SUM(User_Responses!H$2:$H$66)</f>
        <v>2.6666666666666686E-2</v>
      </c>
      <c r="D14" s="30">
        <f>_xlfn.XLOOKUP(A14, Platform_DB!$B$1:$Z$1, Platform_DB!$B$2:$Z$2)</f>
        <v>0.8</v>
      </c>
      <c r="E14" s="31">
        <f t="shared" si="0"/>
        <v>0.8</v>
      </c>
      <c r="F14" s="30">
        <f>_xlfn.XLOOKUP(A14, Platform_DB!$B$1:$Z$1, Platform_DB!$B$3:$Z$3)</f>
        <v>0.8</v>
      </c>
      <c r="G14" s="30">
        <f t="shared" si="1"/>
        <v>0.8</v>
      </c>
      <c r="H14" s="30">
        <f>_xlfn.XLOOKUP(A14, Platform_DB!$B$1:$Z$1, Platform_DB!$B$4:$Z$4)</f>
        <v>0.9</v>
      </c>
      <c r="I14" s="30">
        <f t="shared" si="2"/>
        <v>0.9</v>
      </c>
      <c r="J14" s="30">
        <f>_xlfn.XLOOKUP(A14, Platform_DB!$B$1:$Z$1, Platform_DB!$B$5:$Z$5)</f>
        <v>0.8</v>
      </c>
      <c r="K14" s="30">
        <f t="shared" si="3"/>
        <v>0.8</v>
      </c>
      <c r="L14" s="30">
        <f>_xlfn.XLOOKUP(A14, Platform_DB!$B$1:$Z$1, Platform_DB!$B$6:$Z$6)</f>
        <v>0.7</v>
      </c>
      <c r="M14" s="30">
        <f t="shared" si="4"/>
        <v>0.7</v>
      </c>
      <c r="N14" s="30">
        <f>_xlfn.XLOOKUP(A14, Platform_DB!$B$1:$Z$1, Platform_DB!$B$7:$Z$7)</f>
        <v>0.7</v>
      </c>
      <c r="O14" s="30">
        <f t="shared" si="5"/>
        <v>0.7</v>
      </c>
    </row>
    <row r="15" spans="1:15" ht="18" x14ac:dyDescent="0.35">
      <c r="A15" s="20" t="s">
        <v>13</v>
      </c>
      <c r="B15" s="30">
        <f>AVERAGEIF(User_Responses!$B$2:$B$66, A15, User_Responses!$G$2:$G$66)</f>
        <v>0.5</v>
      </c>
      <c r="C15" s="30">
        <f>SUMIF(User_Responses!$B$2:$B$66, A15, User_Responses!$H$2:$H$66) / SUM(User_Responses!H$2:$H$66)</f>
        <v>7.6190476190476242E-3</v>
      </c>
      <c r="D15" s="30">
        <f>_xlfn.XLOOKUP(A15, Platform_DB!$B$1:$Z$1, Platform_DB!$B$2:$Z$2)</f>
        <v>0.9</v>
      </c>
      <c r="E15" s="31">
        <f t="shared" si="0"/>
        <v>0.6</v>
      </c>
      <c r="F15" s="30">
        <f>_xlfn.XLOOKUP(A15, Platform_DB!$B$1:$Z$1, Platform_DB!$B$3:$Z$3)</f>
        <v>0.9</v>
      </c>
      <c r="G15" s="30">
        <f t="shared" si="1"/>
        <v>0.6</v>
      </c>
      <c r="H15" s="30">
        <f>_xlfn.XLOOKUP(A15, Platform_DB!$B$1:$Z$1, Platform_DB!$B$4:$Z$4)</f>
        <v>0.8</v>
      </c>
      <c r="I15" s="30">
        <f t="shared" si="2"/>
        <v>0.7</v>
      </c>
      <c r="J15" s="30">
        <f>_xlfn.XLOOKUP(A15, Platform_DB!$B$1:$Z$1, Platform_DB!$B$5:$Z$5)</f>
        <v>1</v>
      </c>
      <c r="K15" s="30">
        <f t="shared" si="3"/>
        <v>0.5</v>
      </c>
      <c r="L15" s="30">
        <f>_xlfn.XLOOKUP(A15, Platform_DB!$B$1:$Z$1, Platform_DB!$B$6:$Z$6)</f>
        <v>0.7</v>
      </c>
      <c r="M15" s="30">
        <f t="shared" si="4"/>
        <v>0.8</v>
      </c>
      <c r="N15" s="30">
        <f>_xlfn.XLOOKUP(A15, Platform_DB!$B$1:$Z$1, Platform_DB!$B$7:$Z$7)</f>
        <v>0.8</v>
      </c>
      <c r="O15" s="30">
        <f t="shared" si="5"/>
        <v>0.7</v>
      </c>
    </row>
    <row r="16" spans="1:15" ht="18" x14ac:dyDescent="0.35">
      <c r="A16" s="20" t="s">
        <v>14</v>
      </c>
      <c r="B16" s="30">
        <f>AVERAGEIF(User_Responses!$B$2:$B$66, A16, User_Responses!$G$2:$G$66)</f>
        <v>0.5</v>
      </c>
      <c r="C16" s="30">
        <f>SUMIF(User_Responses!$B$2:$B$66, A16, User_Responses!$H$2:$H$66) / SUM(User_Responses!H$2:$H$66)</f>
        <v>3.4285714285714308E-2</v>
      </c>
      <c r="D16" s="30">
        <f>_xlfn.XLOOKUP(A16, Platform_DB!$B$1:$Z$1, Platform_DB!$B$2:$Z$2)</f>
        <v>0.8</v>
      </c>
      <c r="E16" s="31">
        <f t="shared" si="0"/>
        <v>0.7</v>
      </c>
      <c r="F16" s="30">
        <f>_xlfn.XLOOKUP(A16, Platform_DB!$B$1:$Z$1, Platform_DB!$B$3:$Z$3)</f>
        <v>0.9</v>
      </c>
      <c r="G16" s="30">
        <f t="shared" si="1"/>
        <v>0.6</v>
      </c>
      <c r="H16" s="30">
        <f>_xlfn.XLOOKUP(A16, Platform_DB!$B$1:$Z$1, Platform_DB!$B$4:$Z$4)</f>
        <v>0.8</v>
      </c>
      <c r="I16" s="30">
        <f t="shared" si="2"/>
        <v>0.7</v>
      </c>
      <c r="J16" s="30">
        <f>_xlfn.XLOOKUP(A16, Platform_DB!$B$1:$Z$1, Platform_DB!$B$5:$Z$5)</f>
        <v>1</v>
      </c>
      <c r="K16" s="30">
        <f t="shared" si="3"/>
        <v>0.5</v>
      </c>
      <c r="L16" s="30">
        <f>_xlfn.XLOOKUP(A16, Platform_DB!$B$1:$Z$1, Platform_DB!$B$6:$Z$6)</f>
        <v>0.8</v>
      </c>
      <c r="M16" s="30">
        <f t="shared" si="4"/>
        <v>0.7</v>
      </c>
      <c r="N16" s="30">
        <f>_xlfn.XLOOKUP(A16, Platform_DB!$B$1:$Z$1, Platform_DB!$B$7:$Z$7)</f>
        <v>0.7</v>
      </c>
      <c r="O16" s="30">
        <f t="shared" si="5"/>
        <v>0.8</v>
      </c>
    </row>
    <row r="17" spans="1:15" ht="18" x14ac:dyDescent="0.35">
      <c r="A17" s="20" t="s">
        <v>15</v>
      </c>
      <c r="B17" s="30">
        <f>AVERAGEIF(User_Responses!$B$2:$B$66, A17, User_Responses!$G$2:$G$66)</f>
        <v>0.5</v>
      </c>
      <c r="C17" s="30">
        <f>SUMIF(User_Responses!$B$2:$B$66, A17, User_Responses!$H$2:$H$66) / SUM(User_Responses!H$2:$H$66)</f>
        <v>5.7142857142857178E-3</v>
      </c>
      <c r="D17" s="30">
        <f>_xlfn.XLOOKUP(A17, Platform_DB!$B$1:$Z$1, Platform_DB!$B$2:$Z$2)</f>
        <v>0.6</v>
      </c>
      <c r="E17" s="31">
        <f t="shared" si="0"/>
        <v>0.9</v>
      </c>
      <c r="F17" s="30">
        <f>_xlfn.XLOOKUP(A17, Platform_DB!$B$1:$Z$1, Platform_DB!$B$3:$Z$3)</f>
        <v>0.7</v>
      </c>
      <c r="G17" s="30">
        <f t="shared" si="1"/>
        <v>0.8</v>
      </c>
      <c r="H17" s="30">
        <f>_xlfn.XLOOKUP(A17, Platform_DB!$B$1:$Z$1, Platform_DB!$B$4:$Z$4)</f>
        <v>0.8</v>
      </c>
      <c r="I17" s="30">
        <f t="shared" si="2"/>
        <v>0.7</v>
      </c>
      <c r="J17" s="30">
        <f>_xlfn.XLOOKUP(A17, Platform_DB!$B$1:$Z$1, Platform_DB!$B$5:$Z$5)</f>
        <v>0.9</v>
      </c>
      <c r="K17" s="30">
        <f t="shared" si="3"/>
        <v>0.6</v>
      </c>
      <c r="L17" s="30">
        <f>_xlfn.XLOOKUP(A17, Platform_DB!$B$1:$Z$1, Platform_DB!$B$6:$Z$6)</f>
        <v>0.7</v>
      </c>
      <c r="M17" s="30">
        <f t="shared" si="4"/>
        <v>0.8</v>
      </c>
      <c r="N17" s="30">
        <f>_xlfn.XLOOKUP(A17, Platform_DB!$B$1:$Z$1, Platform_DB!$B$7:$Z$7)</f>
        <v>0.8</v>
      </c>
      <c r="O17" s="30">
        <f t="shared" si="5"/>
        <v>0.7</v>
      </c>
    </row>
    <row r="18" spans="1:15" ht="18" x14ac:dyDescent="0.35">
      <c r="A18" s="20" t="s">
        <v>16</v>
      </c>
      <c r="B18" s="30">
        <f>AVERAGEIF(User_Responses!$B$2:$B$66, A18, User_Responses!$G$2:$G$66)</f>
        <v>0.5</v>
      </c>
      <c r="C18" s="30">
        <f>SUMIF(User_Responses!$B$2:$B$66, A18, User_Responses!$H$2:$H$66) / SUM(User_Responses!H$2:$H$66)</f>
        <v>3.4285714285714308E-2</v>
      </c>
      <c r="D18" s="30">
        <f>_xlfn.XLOOKUP(A18, Platform_DB!$B$1:$Z$1, Platform_DB!$B$2:$Z$2)</f>
        <v>0.9</v>
      </c>
      <c r="E18" s="31">
        <f t="shared" si="0"/>
        <v>0.6</v>
      </c>
      <c r="F18" s="30">
        <f>_xlfn.XLOOKUP(A18, Platform_DB!$B$1:$Z$1, Platform_DB!$B$3:$Z$3)</f>
        <v>0.9</v>
      </c>
      <c r="G18" s="30">
        <f t="shared" si="1"/>
        <v>0.6</v>
      </c>
      <c r="H18" s="30">
        <f>_xlfn.XLOOKUP(A18, Platform_DB!$B$1:$Z$1, Platform_DB!$B$4:$Z$4)</f>
        <v>0.9</v>
      </c>
      <c r="I18" s="30">
        <f t="shared" si="2"/>
        <v>0.6</v>
      </c>
      <c r="J18" s="30">
        <f>_xlfn.XLOOKUP(A18, Platform_DB!$B$1:$Z$1, Platform_DB!$B$5:$Z$5)</f>
        <v>0.8</v>
      </c>
      <c r="K18" s="30">
        <f t="shared" si="3"/>
        <v>0.7</v>
      </c>
      <c r="L18" s="30">
        <f>_xlfn.XLOOKUP(A18, Platform_DB!$B$1:$Z$1, Platform_DB!$B$6:$Z$6)</f>
        <v>0.8</v>
      </c>
      <c r="M18" s="30">
        <f t="shared" si="4"/>
        <v>0.7</v>
      </c>
      <c r="N18" s="30">
        <f>_xlfn.XLOOKUP(A18, Platform_DB!$B$1:$Z$1, Platform_DB!$B$7:$Z$7)</f>
        <v>0.7</v>
      </c>
      <c r="O18" s="30">
        <f t="shared" si="5"/>
        <v>0.8</v>
      </c>
    </row>
    <row r="19" spans="1:15" ht="18" x14ac:dyDescent="0.35">
      <c r="A19" s="20" t="s">
        <v>17</v>
      </c>
      <c r="B19" s="30">
        <f>AVERAGEIF(User_Responses!$B$2:$B$66, A19, User_Responses!$G$2:$G$66)</f>
        <v>0.5</v>
      </c>
      <c r="C19" s="30">
        <f>SUMIF(User_Responses!$B$2:$B$66, A19, User_Responses!$H$2:$H$66) / SUM(User_Responses!H$2:$H$66)</f>
        <v>2.6666666666666686E-2</v>
      </c>
      <c r="D19" s="30">
        <f>_xlfn.XLOOKUP(A19, Platform_DB!$B$1:$Z$1, Platform_DB!$B$2:$Z$2)</f>
        <v>1</v>
      </c>
      <c r="E19" s="31">
        <f t="shared" si="0"/>
        <v>0.5</v>
      </c>
      <c r="F19" s="30">
        <f>_xlfn.XLOOKUP(A19, Platform_DB!$B$1:$Z$1, Platform_DB!$B$3:$Z$3)</f>
        <v>0.9</v>
      </c>
      <c r="G19" s="30">
        <f t="shared" si="1"/>
        <v>0.6</v>
      </c>
      <c r="H19" s="30">
        <f>_xlfn.XLOOKUP(A19, Platform_DB!$B$1:$Z$1, Platform_DB!$B$4:$Z$4)</f>
        <v>1</v>
      </c>
      <c r="I19" s="30">
        <f t="shared" si="2"/>
        <v>0.5</v>
      </c>
      <c r="J19" s="30">
        <f>_xlfn.XLOOKUP(A19, Platform_DB!$B$1:$Z$1, Platform_DB!$B$5:$Z$5)</f>
        <v>0.7</v>
      </c>
      <c r="K19" s="30">
        <f t="shared" si="3"/>
        <v>0.8</v>
      </c>
      <c r="L19" s="30">
        <f>_xlfn.XLOOKUP(A19, Platform_DB!$B$1:$Z$1, Platform_DB!$B$6:$Z$6)</f>
        <v>0.6</v>
      </c>
      <c r="M19" s="30">
        <f t="shared" si="4"/>
        <v>0.9</v>
      </c>
      <c r="N19" s="30">
        <f>_xlfn.XLOOKUP(A19, Platform_DB!$B$1:$Z$1, Platform_DB!$B$7:$Z$7)</f>
        <v>0.7</v>
      </c>
      <c r="O19" s="30">
        <f t="shared" si="5"/>
        <v>0.8</v>
      </c>
    </row>
    <row r="20" spans="1:15" ht="18" x14ac:dyDescent="0.35">
      <c r="A20" s="20" t="s">
        <v>18</v>
      </c>
      <c r="B20" s="30">
        <f>AVERAGEIF(User_Responses!$B$2:$B$66, A20, User_Responses!$G$2:$G$66)</f>
        <v>0.5</v>
      </c>
      <c r="C20" s="30">
        <f>SUMIF(User_Responses!$B$2:$B$66, A20, User_Responses!$H$2:$H$66) / SUM(User_Responses!H$2:$H$66)</f>
        <v>1.1428571428571436E-2</v>
      </c>
      <c r="D20" s="30">
        <f>_xlfn.XLOOKUP(A20, Platform_DB!$B$1:$Z$1, Platform_DB!$B$2:$Z$2)</f>
        <v>1</v>
      </c>
      <c r="E20" s="31">
        <f t="shared" si="0"/>
        <v>0.5</v>
      </c>
      <c r="F20" s="30">
        <f>_xlfn.XLOOKUP(A20, Platform_DB!$B$1:$Z$1, Platform_DB!$B$3:$Z$3)</f>
        <v>0.9</v>
      </c>
      <c r="G20" s="30">
        <f t="shared" si="1"/>
        <v>0.6</v>
      </c>
      <c r="H20" s="30">
        <f>_xlfn.XLOOKUP(A20, Platform_DB!$B$1:$Z$1, Platform_DB!$B$4:$Z$4)</f>
        <v>1</v>
      </c>
      <c r="I20" s="30">
        <f t="shared" si="2"/>
        <v>0.5</v>
      </c>
      <c r="J20" s="30">
        <f>_xlfn.XLOOKUP(A20, Platform_DB!$B$1:$Z$1, Platform_DB!$B$5:$Z$5)</f>
        <v>0.7</v>
      </c>
      <c r="K20" s="30">
        <f t="shared" si="3"/>
        <v>0.8</v>
      </c>
      <c r="L20" s="30">
        <f>_xlfn.XLOOKUP(A20, Platform_DB!$B$1:$Z$1, Platform_DB!$B$6:$Z$6)</f>
        <v>0.7</v>
      </c>
      <c r="M20" s="30">
        <f t="shared" si="4"/>
        <v>0.8</v>
      </c>
      <c r="N20" s="30">
        <f>_xlfn.XLOOKUP(A20, Platform_DB!$B$1:$Z$1, Platform_DB!$B$7:$Z$7)</f>
        <v>0.8</v>
      </c>
      <c r="O20" s="30">
        <f t="shared" si="5"/>
        <v>0.7</v>
      </c>
    </row>
    <row r="21" spans="1:15" ht="18" x14ac:dyDescent="0.35">
      <c r="A21" s="20" t="s">
        <v>19</v>
      </c>
      <c r="B21" s="30">
        <f>AVERAGEIF(User_Responses!$B$2:$B$66, A21, User_Responses!$G$2:$G$66)</f>
        <v>0.75</v>
      </c>
      <c r="C21" s="30">
        <f>SUMIF(User_Responses!$B$2:$B$66, A21, User_Responses!$H$2:$H$66) / SUM(User_Responses!H$2:$H$66)</f>
        <v>1.904761904761906E-2</v>
      </c>
      <c r="D21" s="30">
        <f>_xlfn.XLOOKUP(A21, Platform_DB!$B$1:$Z$1, Platform_DB!$B$2:$Z$2)</f>
        <v>0.8</v>
      </c>
      <c r="E21" s="31">
        <f t="shared" si="0"/>
        <v>0.95</v>
      </c>
      <c r="F21" s="30">
        <f>_xlfn.XLOOKUP(A21, Platform_DB!$B$1:$Z$1, Platform_DB!$B$3:$Z$3)</f>
        <v>0.9</v>
      </c>
      <c r="G21" s="30">
        <f t="shared" si="1"/>
        <v>0.85</v>
      </c>
      <c r="H21" s="30">
        <f>_xlfn.XLOOKUP(A21, Platform_DB!$B$1:$Z$1, Platform_DB!$B$4:$Z$4)</f>
        <v>0.8</v>
      </c>
      <c r="I21" s="30">
        <f t="shared" si="2"/>
        <v>0.95</v>
      </c>
      <c r="J21" s="30">
        <f>_xlfn.XLOOKUP(A21, Platform_DB!$B$1:$Z$1, Platform_DB!$B$5:$Z$5)</f>
        <v>0.8</v>
      </c>
      <c r="K21" s="30">
        <f t="shared" si="3"/>
        <v>0.95</v>
      </c>
      <c r="L21" s="30">
        <f>_xlfn.XLOOKUP(A21, Platform_DB!$B$1:$Z$1, Platform_DB!$B$6:$Z$6)</f>
        <v>0.9</v>
      </c>
      <c r="M21" s="30">
        <f t="shared" si="4"/>
        <v>0.85</v>
      </c>
      <c r="N21" s="30">
        <f>_xlfn.XLOOKUP(A21, Platform_DB!$B$1:$Z$1, Platform_DB!$B$7:$Z$7)</f>
        <v>0.7</v>
      </c>
      <c r="O21" s="30">
        <f t="shared" si="5"/>
        <v>0.95</v>
      </c>
    </row>
    <row r="22" spans="1:15" ht="18" x14ac:dyDescent="0.35">
      <c r="A22" s="20" t="s">
        <v>20</v>
      </c>
      <c r="B22" s="30">
        <f>AVERAGEIF(User_Responses!$B$2:$B$66, A22, User_Responses!$G$2:$G$66)</f>
        <v>0.75</v>
      </c>
      <c r="C22" s="30">
        <f>SUMIF(User_Responses!$B$2:$B$66, A22, User_Responses!$H$2:$H$66) / SUM(User_Responses!H$2:$H$66)</f>
        <v>3.4285714285714308E-2</v>
      </c>
      <c r="D22" s="30">
        <f>_xlfn.XLOOKUP(A22, Platform_DB!$B$1:$Z$1, Platform_DB!$B$2:$Z$2)</f>
        <v>1</v>
      </c>
      <c r="E22" s="31">
        <f t="shared" si="0"/>
        <v>0.75</v>
      </c>
      <c r="F22" s="30">
        <f>_xlfn.XLOOKUP(A22, Platform_DB!$B$1:$Z$1, Platform_DB!$B$3:$Z$3)</f>
        <v>0.9</v>
      </c>
      <c r="G22" s="30">
        <f t="shared" si="1"/>
        <v>0.85</v>
      </c>
      <c r="H22" s="30">
        <f>_xlfn.XLOOKUP(A22, Platform_DB!$B$1:$Z$1, Platform_DB!$B$4:$Z$4)</f>
        <v>0.8</v>
      </c>
      <c r="I22" s="30">
        <f t="shared" si="2"/>
        <v>0.95</v>
      </c>
      <c r="J22" s="30">
        <f>_xlfn.XLOOKUP(A22, Platform_DB!$B$1:$Z$1, Platform_DB!$B$5:$Z$5)</f>
        <v>0.6</v>
      </c>
      <c r="K22" s="30">
        <f t="shared" si="3"/>
        <v>0.85</v>
      </c>
      <c r="L22" s="30">
        <f>_xlfn.XLOOKUP(A22, Platform_DB!$B$1:$Z$1, Platform_DB!$B$6:$Z$6)</f>
        <v>0.6</v>
      </c>
      <c r="M22" s="30">
        <f t="shared" si="4"/>
        <v>0.85</v>
      </c>
      <c r="N22" s="30">
        <f>_xlfn.XLOOKUP(A22, Platform_DB!$B$1:$Z$1, Platform_DB!$B$7:$Z$7)</f>
        <v>0.6</v>
      </c>
      <c r="O22" s="30">
        <f t="shared" si="5"/>
        <v>0.85</v>
      </c>
    </row>
    <row r="24" spans="1:15" ht="18" x14ac:dyDescent="0.35">
      <c r="D24" s="25" t="s">
        <v>117</v>
      </c>
      <c r="E24" s="26" t="s">
        <v>112</v>
      </c>
      <c r="F24" s="26" t="s">
        <v>113</v>
      </c>
      <c r="G24" s="26" t="s">
        <v>114</v>
      </c>
      <c r="H24" s="26" t="s">
        <v>115</v>
      </c>
      <c r="I24" s="23" t="s">
        <v>116</v>
      </c>
    </row>
    <row r="25" spans="1:15" ht="18" x14ac:dyDescent="0.35">
      <c r="C25" s="23" t="s">
        <v>120</v>
      </c>
      <c r="D25" s="32">
        <f>SUMPRODUCT($C$2:$C$21, E2:E21)</f>
        <v>0.59628571428571453</v>
      </c>
      <c r="E25" s="32">
        <f>SUMPRODUCT($C$2:$C$21, G2:G21)</f>
        <v>0.59171428571428608</v>
      </c>
      <c r="F25" s="32">
        <f>SUMPRODUCT($C$2:$C$21, I2:I21)</f>
        <v>0.60238095238095257</v>
      </c>
      <c r="G25" s="31">
        <f>SUMPRODUCT($C$2:$C$21, K2:K21)</f>
        <v>0.64866666666666684</v>
      </c>
      <c r="H25" s="32">
        <f>SUMPRODUCT($C$2:$C$21, M2:M21)</f>
        <v>0.67533333333333379</v>
      </c>
      <c r="I25" s="31">
        <f>SUMPRODUCT($C$2:$C$21, O2:O21)</f>
        <v>0.70447619047619081</v>
      </c>
      <c r="J25" s="24"/>
      <c r="K25" s="24"/>
      <c r="L25" s="24"/>
      <c r="M25" s="24"/>
      <c r="N25" s="24"/>
      <c r="O25" s="24"/>
    </row>
    <row r="30" spans="1:15" x14ac:dyDescent="0.3">
      <c r="C30" s="22"/>
    </row>
    <row r="58" spans="1:1" ht="15.6" x14ac:dyDescent="0.3">
      <c r="A58" s="33" t="s">
        <v>121</v>
      </c>
    </row>
  </sheetData>
  <sheetProtection algorithmName="SHA-512" hashValue="ts2WNs7DX+2fFM7vZ5pT8I83LyOE4aMjDfGRICzaFfnQGyB+S43qBiGuIKzdmSgpYYc6lNcYQQ8Dm7tJaGVa/Q==" saltValue="43cIDFL3Drd1lVPogAUkrw==" spinCount="100000" sheet="1" objects="1" scenarios="1"/>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Platform_DB</vt:lpstr>
      <vt:lpstr>User_Responses</vt:lpstr>
      <vt:lpstr>Vendor_Rankings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2026-06-29T09:14:16Z</dcterms:created>
  <dcterms:modified xsi:type="dcterms:W3CDTF">2026-10-24T19:44:18Z</dcterms:modified>
</cp:coreProperties>
</file>