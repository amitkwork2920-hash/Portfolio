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tp\Documents\portfolio-repo\architectures and decision enablers\architecture decision enabler\ai-vectordb-vendor-evaluation\"/>
    </mc:Choice>
  </mc:AlternateContent>
  <xr:revisionPtr revIDLastSave="0" documentId="13_ncr:1_{98055095-094F-47AD-8E76-E262F6BEC9A1}" xr6:coauthVersionLast="47" xr6:coauthVersionMax="47" xr10:uidLastSave="{00000000-0000-0000-0000-000000000000}"/>
  <bookViews>
    <workbookView xWindow="-108" yWindow="-108" windowWidth="23256" windowHeight="12456" activeTab="1" xr2:uid="{11FE6716-00EB-4A8F-BF84-8278D6931338}"/>
  </bookViews>
  <sheets>
    <sheet name="Platform_DB" sheetId="1" r:id="rId1"/>
    <sheet name="Evaluation_Engine" sheetId="2" r:id="rId2"/>
    <sheet name="Tools Inf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8" i="2" l="1" a="1"/>
  <c r="D52" i="2" a="1"/>
  <c r="D53" i="2" a="1"/>
  <c r="D54" i="2" a="1"/>
  <c r="D55" i="2" a="1"/>
  <c r="D56" i="2" a="1"/>
  <c r="D57" i="2" a="1"/>
  <c r="D58" i="2" a="1"/>
  <c r="D59" i="2" a="1"/>
  <c r="D60" i="2" a="1"/>
  <c r="D61" i="2" a="1"/>
  <c r="D62" i="2" a="1"/>
  <c r="D63" i="2" a="1"/>
  <c r="D64" i="2" a="1"/>
  <c r="D65" i="2" a="1"/>
  <c r="D66" i="2" a="1"/>
  <c r="D67" i="2" a="1"/>
  <c r="D68" i="2" a="1"/>
  <c r="D69" i="2" a="1"/>
  <c r="D70" i="2" a="1"/>
  <c r="D71" i="2" a="1"/>
  <c r="D72" i="2" a="1"/>
  <c r="D73" i="2" a="1"/>
  <c r="D74" i="2" a="1"/>
  <c r="D75" i="2" a="1"/>
  <c r="D76" i="2" a="1"/>
  <c r="D77" i="2" a="1"/>
  <c r="D78" i="2" a="1"/>
  <c r="D79" i="2" a="1"/>
  <c r="D80" i="2" a="1"/>
  <c r="D81" i="2" a="1"/>
  <c r="D82" i="2" a="1"/>
  <c r="D83" i="2" a="1"/>
  <c r="D84" i="2" a="1"/>
  <c r="D85" i="2" a="1"/>
  <c r="D86" i="2" a="1"/>
  <c r="D87" i="2" a="1"/>
  <c r="D88" i="2" a="1"/>
  <c r="D89" i="2" a="1"/>
  <c r="D90" i="2" a="1"/>
  <c r="D91" i="2" a="1"/>
  <c r="D92" i="2" a="1"/>
  <c r="D93" i="2" a="1"/>
  <c r="D94" i="2" a="1"/>
  <c r="D95" i="2" a="1"/>
  <c r="D96" i="2" a="1"/>
  <c r="D97" i="2" a="1"/>
  <c r="D98" i="2" a="1"/>
  <c r="D99" i="2" a="1"/>
  <c r="D100" i="2" a="1"/>
  <c r="D101" i="2" a="1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D3" i="2" a="1"/>
  <c r="D4" i="2" a="1"/>
  <c r="D5" i="2" a="1"/>
  <c r="D6" i="2" a="1"/>
  <c r="D7" i="2" a="1"/>
  <c r="D8" i="2" a="1"/>
  <c r="D9" i="2" a="1"/>
  <c r="D10" i="2" a="1"/>
  <c r="D11" i="2" a="1"/>
  <c r="D12" i="2" a="1"/>
  <c r="D13" i="2" a="1"/>
  <c r="D14" i="2" a="1"/>
  <c r="D15" i="2" a="1"/>
  <c r="D16" i="2" a="1"/>
  <c r="D17" i="2" a="1"/>
  <c r="D18" i="2" a="1"/>
  <c r="D19" i="2" a="1"/>
  <c r="D20" i="2" a="1"/>
  <c r="D21" i="2" a="1"/>
  <c r="D22" i="2" a="1"/>
  <c r="D23" i="2" a="1"/>
  <c r="D24" i="2" a="1"/>
  <c r="D25" i="2" a="1"/>
  <c r="D26" i="2" a="1"/>
  <c r="D27" i="2" a="1"/>
  <c r="D28" i="2" a="1"/>
  <c r="D29" i="2" a="1"/>
  <c r="D30" i="2" a="1"/>
  <c r="D31" i="2" a="1"/>
  <c r="D32" i="2" a="1"/>
  <c r="D33" i="2" a="1"/>
  <c r="D34" i="2" a="1"/>
  <c r="D35" i="2" a="1"/>
  <c r="D36" i="2" a="1"/>
  <c r="D37" i="2" a="1"/>
  <c r="D38" i="2" a="1"/>
  <c r="D39" i="2" a="1"/>
  <c r="D40" i="2" a="1"/>
  <c r="D41" i="2" a="1"/>
  <c r="D42" i="2" a="1"/>
  <c r="D43" i="2" a="1"/>
  <c r="D44" i="2" a="1"/>
  <c r="D45" i="2" a="1"/>
  <c r="D46" i="2" a="1"/>
  <c r="D47" i="2" a="1"/>
  <c r="D48" i="2" a="1"/>
  <c r="D49" i="2" a="1"/>
  <c r="D50" i="2" a="1"/>
  <c r="D51" i="2" a="1"/>
  <c r="D2" i="2" a="1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N52" i="2" l="1"/>
  <c r="M52" i="2"/>
  <c r="I52" i="2"/>
  <c r="G52" i="2"/>
  <c r="H52" i="2"/>
  <c r="E52" i="2"/>
  <c r="K52" i="2"/>
  <c r="F52" i="2"/>
  <c r="J52" i="2"/>
  <c r="L52" i="2"/>
  <c r="J53" i="2"/>
  <c r="N53" i="2"/>
  <c r="M53" i="2"/>
  <c r="I53" i="2"/>
  <c r="H53" i="2"/>
  <c r="E53" i="2"/>
  <c r="L53" i="2"/>
  <c r="K53" i="2"/>
  <c r="F53" i="2"/>
  <c r="G53" i="2"/>
  <c r="G54" i="2"/>
  <c r="N54" i="2"/>
  <c r="E54" i="2"/>
  <c r="L54" i="2"/>
  <c r="K54" i="2"/>
  <c r="H54" i="2"/>
  <c r="J54" i="2"/>
  <c r="F54" i="2"/>
  <c r="I54" i="2"/>
  <c r="M54" i="2"/>
  <c r="N55" i="2"/>
  <c r="I55" i="2"/>
  <c r="H55" i="2"/>
  <c r="F55" i="2"/>
  <c r="M55" i="2"/>
  <c r="J55" i="2"/>
  <c r="L55" i="2"/>
  <c r="E55" i="2"/>
  <c r="K55" i="2"/>
  <c r="G55" i="2"/>
  <c r="K56" i="2"/>
  <c r="N56" i="2"/>
  <c r="H56" i="2"/>
  <c r="E56" i="2"/>
  <c r="M56" i="2"/>
  <c r="F56" i="2"/>
  <c r="I56" i="2"/>
  <c r="J56" i="2"/>
  <c r="G56" i="2"/>
  <c r="L56" i="2"/>
  <c r="N57" i="2"/>
  <c r="I57" i="2"/>
  <c r="E57" i="2"/>
  <c r="G57" i="2"/>
  <c r="L57" i="2"/>
  <c r="K57" i="2"/>
  <c r="J57" i="2"/>
  <c r="M57" i="2"/>
  <c r="H57" i="2"/>
  <c r="F57" i="2"/>
  <c r="G58" i="2"/>
  <c r="J58" i="2"/>
  <c r="I58" i="2"/>
  <c r="L58" i="2"/>
  <c r="M58" i="2"/>
  <c r="H58" i="2"/>
  <c r="E58" i="2"/>
  <c r="F58" i="2"/>
  <c r="N58" i="2"/>
  <c r="K58" i="2"/>
  <c r="J59" i="2"/>
  <c r="H59" i="2"/>
  <c r="I59" i="2"/>
  <c r="G59" i="2"/>
  <c r="F59" i="2"/>
  <c r="L59" i="2"/>
  <c r="N59" i="2"/>
  <c r="E59" i="2"/>
  <c r="K59" i="2"/>
  <c r="M59" i="2"/>
  <c r="N60" i="2"/>
  <c r="J60" i="2"/>
  <c r="G60" i="2"/>
  <c r="M60" i="2"/>
  <c r="K60" i="2"/>
  <c r="E60" i="2"/>
  <c r="F60" i="2"/>
  <c r="I60" i="2"/>
  <c r="H60" i="2"/>
  <c r="L60" i="2"/>
  <c r="M61" i="2"/>
  <c r="N61" i="2"/>
  <c r="G61" i="2"/>
  <c r="K61" i="2"/>
  <c r="E61" i="2"/>
  <c r="J61" i="2"/>
  <c r="L61" i="2"/>
  <c r="I61" i="2"/>
  <c r="F61" i="2"/>
  <c r="H61" i="2"/>
  <c r="K62" i="2"/>
  <c r="F62" i="2"/>
  <c r="N62" i="2"/>
  <c r="J62" i="2"/>
  <c r="M62" i="2"/>
  <c r="I62" i="2"/>
  <c r="E62" i="2"/>
  <c r="L62" i="2"/>
  <c r="G62" i="2"/>
  <c r="H62" i="2"/>
  <c r="F63" i="2"/>
  <c r="I63" i="2"/>
  <c r="H63" i="2"/>
  <c r="J63" i="2"/>
  <c r="E63" i="2"/>
  <c r="G63" i="2"/>
  <c r="L63" i="2"/>
  <c r="M63" i="2"/>
  <c r="K63" i="2"/>
  <c r="N63" i="2"/>
  <c r="K64" i="2"/>
  <c r="I64" i="2"/>
  <c r="G64" i="2"/>
  <c r="H64" i="2"/>
  <c r="L64" i="2"/>
  <c r="M64" i="2"/>
  <c r="F64" i="2"/>
  <c r="E64" i="2"/>
  <c r="N64" i="2"/>
  <c r="J64" i="2"/>
  <c r="I65" i="2"/>
  <c r="K65" i="2"/>
  <c r="M65" i="2"/>
  <c r="G65" i="2"/>
  <c r="N65" i="2"/>
  <c r="L65" i="2"/>
  <c r="H65" i="2"/>
  <c r="E65" i="2"/>
  <c r="J65" i="2"/>
  <c r="F65" i="2"/>
  <c r="I66" i="2"/>
  <c r="N66" i="2"/>
  <c r="J66" i="2"/>
  <c r="L66" i="2"/>
  <c r="M66" i="2"/>
  <c r="H66" i="2"/>
  <c r="K66" i="2"/>
  <c r="G66" i="2"/>
  <c r="F66" i="2"/>
  <c r="E66" i="2"/>
  <c r="L67" i="2"/>
  <c r="N67" i="2"/>
  <c r="K67" i="2"/>
  <c r="I67" i="2"/>
  <c r="E67" i="2"/>
  <c r="G67" i="2"/>
  <c r="J67" i="2"/>
  <c r="H67" i="2"/>
  <c r="F67" i="2"/>
  <c r="M67" i="2"/>
  <c r="N68" i="2"/>
  <c r="K68" i="2"/>
  <c r="J68" i="2"/>
  <c r="I68" i="2"/>
  <c r="F68" i="2"/>
  <c r="M68" i="2"/>
  <c r="E68" i="2"/>
  <c r="G68" i="2"/>
  <c r="L68" i="2"/>
  <c r="H68" i="2"/>
  <c r="N69" i="2"/>
  <c r="L69" i="2"/>
  <c r="H69" i="2"/>
  <c r="E69" i="2"/>
  <c r="G69" i="2"/>
  <c r="M69" i="2"/>
  <c r="F69" i="2"/>
  <c r="I69" i="2"/>
  <c r="K69" i="2"/>
  <c r="J69" i="2"/>
  <c r="N70" i="2"/>
  <c r="L70" i="2"/>
  <c r="F70" i="2"/>
  <c r="I70" i="2"/>
  <c r="E70" i="2"/>
  <c r="K70" i="2"/>
  <c r="G70" i="2"/>
  <c r="M70" i="2"/>
  <c r="H70" i="2"/>
  <c r="J70" i="2"/>
  <c r="N71" i="2"/>
  <c r="M71" i="2"/>
  <c r="L71" i="2"/>
  <c r="H71" i="2"/>
  <c r="G71" i="2"/>
  <c r="E71" i="2"/>
  <c r="K71" i="2"/>
  <c r="J71" i="2"/>
  <c r="I71" i="2"/>
  <c r="F71" i="2"/>
  <c r="N72" i="2"/>
  <c r="I72" i="2"/>
  <c r="F72" i="2"/>
  <c r="G72" i="2"/>
  <c r="E72" i="2"/>
  <c r="J72" i="2"/>
  <c r="L72" i="2"/>
  <c r="H72" i="2"/>
  <c r="M72" i="2"/>
  <c r="K72" i="2"/>
  <c r="N73" i="2"/>
  <c r="I73" i="2"/>
  <c r="L73" i="2"/>
  <c r="K73" i="2"/>
  <c r="G73" i="2"/>
  <c r="H73" i="2"/>
  <c r="E73" i="2"/>
  <c r="F73" i="2"/>
  <c r="J73" i="2"/>
  <c r="M73" i="2"/>
  <c r="N74" i="2"/>
  <c r="H74" i="2"/>
  <c r="E74" i="2"/>
  <c r="G74" i="2"/>
  <c r="F74" i="2"/>
  <c r="I74" i="2"/>
  <c r="M74" i="2"/>
  <c r="K74" i="2"/>
  <c r="L74" i="2"/>
  <c r="J74" i="2"/>
  <c r="N75" i="2"/>
  <c r="E75" i="2"/>
  <c r="M75" i="2"/>
  <c r="H75" i="2"/>
  <c r="I75" i="2"/>
  <c r="J75" i="2"/>
  <c r="K75" i="2"/>
  <c r="L75" i="2"/>
  <c r="F75" i="2"/>
  <c r="G75" i="2"/>
  <c r="N76" i="2"/>
  <c r="H76" i="2"/>
  <c r="E76" i="2"/>
  <c r="G76" i="2"/>
  <c r="F76" i="2"/>
  <c r="J76" i="2"/>
  <c r="M76" i="2"/>
  <c r="L76" i="2"/>
  <c r="K76" i="2"/>
  <c r="I76" i="2"/>
  <c r="I77" i="2"/>
  <c r="E77" i="2"/>
  <c r="G77" i="2"/>
  <c r="F77" i="2"/>
  <c r="L77" i="2"/>
  <c r="J77" i="2"/>
  <c r="H77" i="2"/>
  <c r="N77" i="2"/>
  <c r="M77" i="2"/>
  <c r="K77" i="2"/>
  <c r="N78" i="2"/>
  <c r="G78" i="2"/>
  <c r="J78" i="2"/>
  <c r="H78" i="2"/>
  <c r="E78" i="2"/>
  <c r="M78" i="2"/>
  <c r="L78" i="2"/>
  <c r="I78" i="2"/>
  <c r="F78" i="2"/>
  <c r="K78" i="2"/>
  <c r="I79" i="2"/>
  <c r="E79" i="2"/>
  <c r="L79" i="2"/>
  <c r="M79" i="2"/>
  <c r="N79" i="2"/>
  <c r="G79" i="2"/>
  <c r="F79" i="2"/>
  <c r="J79" i="2"/>
  <c r="H79" i="2"/>
  <c r="K79" i="2"/>
  <c r="L80" i="2"/>
  <c r="F80" i="2"/>
  <c r="E80" i="2"/>
  <c r="G80" i="2"/>
  <c r="K80" i="2"/>
  <c r="J80" i="2"/>
  <c r="M80" i="2"/>
  <c r="H80" i="2"/>
  <c r="I80" i="2"/>
  <c r="N80" i="2"/>
  <c r="K81" i="2"/>
  <c r="H81" i="2"/>
  <c r="M81" i="2"/>
  <c r="L81" i="2"/>
  <c r="J81" i="2"/>
  <c r="N81" i="2"/>
  <c r="F81" i="2"/>
  <c r="G81" i="2"/>
  <c r="E81" i="2"/>
  <c r="I81" i="2"/>
  <c r="K82" i="2"/>
  <c r="G82" i="2"/>
  <c r="M82" i="2"/>
  <c r="F82" i="2"/>
  <c r="J82" i="2"/>
  <c r="N82" i="2"/>
  <c r="H82" i="2"/>
  <c r="E82" i="2"/>
  <c r="L82" i="2"/>
  <c r="I82" i="2"/>
  <c r="N83" i="2"/>
  <c r="F83" i="2"/>
  <c r="G83" i="2"/>
  <c r="M83" i="2"/>
  <c r="J83" i="2"/>
  <c r="E83" i="2"/>
  <c r="L83" i="2"/>
  <c r="H83" i="2"/>
  <c r="K83" i="2"/>
  <c r="I83" i="2"/>
  <c r="N84" i="2"/>
  <c r="F84" i="2"/>
  <c r="G84" i="2"/>
  <c r="K84" i="2"/>
  <c r="I84" i="2"/>
  <c r="J84" i="2"/>
  <c r="L84" i="2"/>
  <c r="E84" i="2"/>
  <c r="M84" i="2"/>
  <c r="H84" i="2"/>
  <c r="N85" i="2"/>
  <c r="H85" i="2"/>
  <c r="K85" i="2"/>
  <c r="I85" i="2"/>
  <c r="F85" i="2"/>
  <c r="L85" i="2"/>
  <c r="E85" i="2"/>
  <c r="M85" i="2"/>
  <c r="J85" i="2"/>
  <c r="G85" i="2"/>
  <c r="N86" i="2"/>
  <c r="F86" i="2"/>
  <c r="I86" i="2"/>
  <c r="K86" i="2"/>
  <c r="E86" i="2"/>
  <c r="M86" i="2"/>
  <c r="J86" i="2"/>
  <c r="G86" i="2"/>
  <c r="H86" i="2"/>
  <c r="L86" i="2"/>
  <c r="N87" i="2"/>
  <c r="F87" i="2"/>
  <c r="K87" i="2"/>
  <c r="E87" i="2"/>
  <c r="M87" i="2"/>
  <c r="G87" i="2"/>
  <c r="L87" i="2"/>
  <c r="J87" i="2"/>
  <c r="I87" i="2"/>
  <c r="H87" i="2"/>
  <c r="N88" i="2"/>
  <c r="H88" i="2"/>
  <c r="L88" i="2"/>
  <c r="K88" i="2"/>
  <c r="G88" i="2"/>
  <c r="J88" i="2"/>
  <c r="M88" i="2"/>
  <c r="I88" i="2"/>
  <c r="E88" i="2"/>
  <c r="F88" i="2"/>
  <c r="L89" i="2"/>
  <c r="G89" i="2"/>
  <c r="M89" i="2"/>
  <c r="H89" i="2"/>
  <c r="F89" i="2"/>
  <c r="E89" i="2"/>
  <c r="K89" i="2"/>
  <c r="I89" i="2"/>
  <c r="N89" i="2"/>
  <c r="J89" i="2"/>
  <c r="L90" i="2"/>
  <c r="G90" i="2"/>
  <c r="M90" i="2"/>
  <c r="J90" i="2"/>
  <c r="K90" i="2"/>
  <c r="N90" i="2"/>
  <c r="E90" i="2"/>
  <c r="I90" i="2"/>
  <c r="H90" i="2"/>
  <c r="F90" i="2"/>
  <c r="E91" i="2"/>
  <c r="N91" i="2"/>
  <c r="M91" i="2"/>
  <c r="I91" i="2"/>
  <c r="L91" i="2"/>
  <c r="G91" i="2"/>
  <c r="J91" i="2"/>
  <c r="K91" i="2"/>
  <c r="H91" i="2"/>
  <c r="F91" i="2"/>
  <c r="M92" i="2"/>
  <c r="H92" i="2"/>
  <c r="J92" i="2"/>
  <c r="E92" i="2"/>
  <c r="F92" i="2"/>
  <c r="K92" i="2"/>
  <c r="L92" i="2"/>
  <c r="N92" i="2"/>
  <c r="I92" i="2"/>
  <c r="G92" i="2"/>
  <c r="J93" i="2"/>
  <c r="E93" i="2"/>
  <c r="F93" i="2"/>
  <c r="I93" i="2"/>
  <c r="M93" i="2"/>
  <c r="N93" i="2"/>
  <c r="H93" i="2"/>
  <c r="L93" i="2"/>
  <c r="K93" i="2"/>
  <c r="G93" i="2"/>
  <c r="N94" i="2"/>
  <c r="J94" i="2"/>
  <c r="K94" i="2"/>
  <c r="E94" i="2"/>
  <c r="I94" i="2"/>
  <c r="L94" i="2"/>
  <c r="F94" i="2"/>
  <c r="M94" i="2"/>
  <c r="H94" i="2"/>
  <c r="G94" i="2"/>
  <c r="E95" i="2"/>
  <c r="N95" i="2"/>
  <c r="K95" i="2"/>
  <c r="M95" i="2"/>
  <c r="L95" i="2"/>
  <c r="H95" i="2"/>
  <c r="I95" i="2"/>
  <c r="F95" i="2"/>
  <c r="J95" i="2"/>
  <c r="G95" i="2"/>
  <c r="N96" i="2"/>
  <c r="F96" i="2"/>
  <c r="J96" i="2"/>
  <c r="H96" i="2"/>
  <c r="K96" i="2"/>
  <c r="L96" i="2"/>
  <c r="E96" i="2"/>
  <c r="I96" i="2"/>
  <c r="M96" i="2"/>
  <c r="G96" i="2"/>
  <c r="N97" i="2"/>
  <c r="I97" i="2"/>
  <c r="J97" i="2"/>
  <c r="E97" i="2"/>
  <c r="M97" i="2"/>
  <c r="G97" i="2"/>
  <c r="F97" i="2"/>
  <c r="L97" i="2"/>
  <c r="K97" i="2"/>
  <c r="H97" i="2"/>
  <c r="N98" i="2"/>
  <c r="E98" i="2"/>
  <c r="H98" i="2"/>
  <c r="M98" i="2"/>
  <c r="I98" i="2"/>
  <c r="L98" i="2"/>
  <c r="K98" i="2"/>
  <c r="G98" i="2"/>
  <c r="F98" i="2"/>
  <c r="J98" i="2"/>
  <c r="N99" i="2"/>
  <c r="H99" i="2"/>
  <c r="K99" i="2"/>
  <c r="G99" i="2"/>
  <c r="F99" i="2"/>
  <c r="M99" i="2"/>
  <c r="E99" i="2"/>
  <c r="L99" i="2"/>
  <c r="I99" i="2"/>
  <c r="J99" i="2"/>
  <c r="N100" i="2"/>
  <c r="I100" i="2"/>
  <c r="M100" i="2"/>
  <c r="L100" i="2"/>
  <c r="H100" i="2"/>
  <c r="F100" i="2"/>
  <c r="E100" i="2"/>
  <c r="K100" i="2"/>
  <c r="G100" i="2"/>
  <c r="J100" i="2"/>
  <c r="N101" i="2"/>
  <c r="E101" i="2"/>
  <c r="L101" i="2"/>
  <c r="M101" i="2"/>
  <c r="J101" i="2"/>
  <c r="K101" i="2"/>
  <c r="H101" i="2"/>
  <c r="F101" i="2"/>
  <c r="G101" i="2"/>
  <c r="I101" i="2"/>
  <c r="N3" i="2"/>
  <c r="I3" i="2"/>
  <c r="K3" i="2"/>
  <c r="H3" i="2"/>
  <c r="G3" i="2"/>
  <c r="F3" i="2"/>
  <c r="L3" i="2"/>
  <c r="E3" i="2"/>
  <c r="J3" i="2"/>
  <c r="M3" i="2"/>
  <c r="N4" i="2"/>
  <c r="F4" i="2"/>
  <c r="G4" i="2"/>
  <c r="H4" i="2"/>
  <c r="M4" i="2"/>
  <c r="I4" i="2"/>
  <c r="L4" i="2"/>
  <c r="J4" i="2"/>
  <c r="K4" i="2"/>
  <c r="E4" i="2"/>
  <c r="G5" i="2"/>
  <c r="M5" i="2"/>
  <c r="H5" i="2"/>
  <c r="L5" i="2"/>
  <c r="K5" i="2"/>
  <c r="J5" i="2"/>
  <c r="F5" i="2"/>
  <c r="I5" i="2"/>
  <c r="E5" i="2"/>
  <c r="H6" i="2"/>
  <c r="J6" i="2"/>
  <c r="M6" i="2"/>
  <c r="G6" i="2"/>
  <c r="K6" i="2"/>
  <c r="L6" i="2"/>
  <c r="I6" i="2"/>
  <c r="F6" i="2"/>
  <c r="E6" i="2"/>
  <c r="K7" i="2"/>
  <c r="G7" i="2"/>
  <c r="J7" i="2"/>
  <c r="H7" i="2"/>
  <c r="I7" i="2"/>
  <c r="M7" i="2"/>
  <c r="E7" i="2"/>
  <c r="L7" i="2"/>
  <c r="F7" i="2"/>
  <c r="L8" i="2"/>
  <c r="F8" i="2"/>
  <c r="J8" i="2"/>
  <c r="G8" i="2"/>
  <c r="E8" i="2"/>
  <c r="H8" i="2"/>
  <c r="I8" i="2"/>
  <c r="M8" i="2"/>
  <c r="K8" i="2"/>
  <c r="G9" i="2"/>
  <c r="I9" i="2"/>
  <c r="E9" i="2"/>
  <c r="J9" i="2"/>
  <c r="L9" i="2"/>
  <c r="F9" i="2"/>
  <c r="H9" i="2"/>
  <c r="M9" i="2"/>
  <c r="K9" i="2"/>
  <c r="K10" i="2"/>
  <c r="F10" i="2"/>
  <c r="J10" i="2"/>
  <c r="E10" i="2"/>
  <c r="L10" i="2"/>
  <c r="H10" i="2"/>
  <c r="G10" i="2"/>
  <c r="M10" i="2"/>
  <c r="I10" i="2"/>
  <c r="I11" i="2"/>
  <c r="L11" i="2"/>
  <c r="J11" i="2"/>
  <c r="H11" i="2"/>
  <c r="F11" i="2"/>
  <c r="G11" i="2"/>
  <c r="E11" i="2"/>
  <c r="M11" i="2"/>
  <c r="K11" i="2"/>
  <c r="F12" i="2"/>
  <c r="E12" i="2"/>
  <c r="H12" i="2"/>
  <c r="G12" i="2"/>
  <c r="J12" i="2"/>
  <c r="M12" i="2"/>
  <c r="L12" i="2"/>
  <c r="K12" i="2"/>
  <c r="I12" i="2"/>
  <c r="L13" i="2"/>
  <c r="G13" i="2"/>
  <c r="M13" i="2"/>
  <c r="I13" i="2"/>
  <c r="F13" i="2"/>
  <c r="K13" i="2"/>
  <c r="E13" i="2"/>
  <c r="J13" i="2"/>
  <c r="H13" i="2"/>
  <c r="L14" i="2"/>
  <c r="K14" i="2"/>
  <c r="G14" i="2"/>
  <c r="I14" i="2"/>
  <c r="F14" i="2"/>
  <c r="J14" i="2"/>
  <c r="H14" i="2"/>
  <c r="M14" i="2"/>
  <c r="E14" i="2"/>
  <c r="F15" i="2"/>
  <c r="M15" i="2"/>
  <c r="L15" i="2"/>
  <c r="G15" i="2"/>
  <c r="J15" i="2"/>
  <c r="H15" i="2"/>
  <c r="I15" i="2"/>
  <c r="K15" i="2"/>
  <c r="E15" i="2"/>
  <c r="I16" i="2"/>
  <c r="K16" i="2"/>
  <c r="J16" i="2"/>
  <c r="E16" i="2"/>
  <c r="M16" i="2"/>
  <c r="L16" i="2"/>
  <c r="G16" i="2"/>
  <c r="H16" i="2"/>
  <c r="F16" i="2"/>
  <c r="L17" i="2"/>
  <c r="K17" i="2"/>
  <c r="F17" i="2"/>
  <c r="M17" i="2"/>
  <c r="H17" i="2"/>
  <c r="I17" i="2"/>
  <c r="J17" i="2"/>
  <c r="G17" i="2"/>
  <c r="E17" i="2"/>
  <c r="I18" i="2"/>
  <c r="M18" i="2"/>
  <c r="L18" i="2"/>
  <c r="K18" i="2"/>
  <c r="F18" i="2"/>
  <c r="H18" i="2"/>
  <c r="E18" i="2"/>
  <c r="G18" i="2"/>
  <c r="J18" i="2"/>
  <c r="K19" i="2"/>
  <c r="M19" i="2"/>
  <c r="I19" i="2"/>
  <c r="J19" i="2"/>
  <c r="F19" i="2"/>
  <c r="G19" i="2"/>
  <c r="H19" i="2"/>
  <c r="L19" i="2"/>
  <c r="E19" i="2"/>
  <c r="L20" i="2"/>
  <c r="G20" i="2"/>
  <c r="I20" i="2"/>
  <c r="M20" i="2"/>
  <c r="E20" i="2"/>
  <c r="F20" i="2"/>
  <c r="K20" i="2"/>
  <c r="H20" i="2"/>
  <c r="J20" i="2"/>
  <c r="M21" i="2"/>
  <c r="F21" i="2"/>
  <c r="L21" i="2"/>
  <c r="I21" i="2"/>
  <c r="H21" i="2"/>
  <c r="K21" i="2"/>
  <c r="J21" i="2"/>
  <c r="G21" i="2"/>
  <c r="E21" i="2"/>
  <c r="G22" i="2"/>
  <c r="L22" i="2"/>
  <c r="I22" i="2"/>
  <c r="E22" i="2"/>
  <c r="F22" i="2"/>
  <c r="K22" i="2"/>
  <c r="H22" i="2"/>
  <c r="J22" i="2"/>
  <c r="M22" i="2"/>
  <c r="M23" i="2"/>
  <c r="L23" i="2"/>
  <c r="K23" i="2"/>
  <c r="G23" i="2"/>
  <c r="I23" i="2"/>
  <c r="F23" i="2"/>
  <c r="J23" i="2"/>
  <c r="H23" i="2"/>
  <c r="E23" i="2"/>
  <c r="H24" i="2"/>
  <c r="E24" i="2"/>
  <c r="K24" i="2"/>
  <c r="G24" i="2"/>
  <c r="J24" i="2"/>
  <c r="I24" i="2"/>
  <c r="L24" i="2"/>
  <c r="F24" i="2"/>
  <c r="M24" i="2"/>
  <c r="E25" i="2"/>
  <c r="J25" i="2"/>
  <c r="K25" i="2"/>
  <c r="F25" i="2"/>
  <c r="H25" i="2"/>
  <c r="L25" i="2"/>
  <c r="I25" i="2"/>
  <c r="G25" i="2"/>
  <c r="M25" i="2"/>
  <c r="H26" i="2"/>
  <c r="M26" i="2"/>
  <c r="F26" i="2"/>
  <c r="I26" i="2"/>
  <c r="J26" i="2"/>
  <c r="E26" i="2"/>
  <c r="K26" i="2"/>
  <c r="G26" i="2"/>
  <c r="L26" i="2"/>
  <c r="H27" i="2"/>
  <c r="G27" i="2"/>
  <c r="E27" i="2"/>
  <c r="J27" i="2"/>
  <c r="K27" i="2"/>
  <c r="M27" i="2"/>
  <c r="F27" i="2"/>
  <c r="L27" i="2"/>
  <c r="I27" i="2"/>
  <c r="K28" i="2"/>
  <c r="G28" i="2"/>
  <c r="E28" i="2"/>
  <c r="F28" i="2"/>
  <c r="L28" i="2"/>
  <c r="J28" i="2"/>
  <c r="M28" i="2"/>
  <c r="H28" i="2"/>
  <c r="I28" i="2"/>
  <c r="G29" i="2"/>
  <c r="F29" i="2"/>
  <c r="I29" i="2"/>
  <c r="M29" i="2"/>
  <c r="E29" i="2"/>
  <c r="J29" i="2"/>
  <c r="H29" i="2"/>
  <c r="L29" i="2"/>
  <c r="K29" i="2"/>
  <c r="I30" i="2"/>
  <c r="K30" i="2"/>
  <c r="L30" i="2"/>
  <c r="H30" i="2"/>
  <c r="E30" i="2"/>
  <c r="F30" i="2"/>
  <c r="M30" i="2"/>
  <c r="G30" i="2"/>
  <c r="J30" i="2"/>
  <c r="J31" i="2"/>
  <c r="L31" i="2"/>
  <c r="K31" i="2"/>
  <c r="F31" i="2"/>
  <c r="E31" i="2"/>
  <c r="I31" i="2"/>
  <c r="G31" i="2"/>
  <c r="H31" i="2"/>
  <c r="M31" i="2"/>
  <c r="I32" i="2"/>
  <c r="M32" i="2"/>
  <c r="L32" i="2"/>
  <c r="F32" i="2"/>
  <c r="H32" i="2"/>
  <c r="G32" i="2"/>
  <c r="K32" i="2"/>
  <c r="J32" i="2"/>
  <c r="E32" i="2"/>
  <c r="J33" i="2"/>
  <c r="I33" i="2"/>
  <c r="H33" i="2"/>
  <c r="L33" i="2"/>
  <c r="F33" i="2"/>
  <c r="G33" i="2"/>
  <c r="K33" i="2"/>
  <c r="E33" i="2"/>
  <c r="M33" i="2"/>
  <c r="K34" i="2"/>
  <c r="I34" i="2"/>
  <c r="E34" i="2"/>
  <c r="M34" i="2"/>
  <c r="L34" i="2"/>
  <c r="J34" i="2"/>
  <c r="G34" i="2"/>
  <c r="F34" i="2"/>
  <c r="H34" i="2"/>
  <c r="J35" i="2"/>
  <c r="F35" i="2"/>
  <c r="E35" i="2"/>
  <c r="M35" i="2"/>
  <c r="G35" i="2"/>
  <c r="I35" i="2"/>
  <c r="K35" i="2"/>
  <c r="L35" i="2"/>
  <c r="H35" i="2"/>
  <c r="H36" i="2"/>
  <c r="E36" i="2"/>
  <c r="F36" i="2"/>
  <c r="I36" i="2"/>
  <c r="J36" i="2"/>
  <c r="G36" i="2"/>
  <c r="M36" i="2"/>
  <c r="L36" i="2"/>
  <c r="K36" i="2"/>
  <c r="F37" i="2"/>
  <c r="K37" i="2"/>
  <c r="M37" i="2"/>
  <c r="I37" i="2"/>
  <c r="J37" i="2"/>
  <c r="H37" i="2"/>
  <c r="L37" i="2"/>
  <c r="G37" i="2"/>
  <c r="E37" i="2"/>
  <c r="F38" i="2"/>
  <c r="K38" i="2"/>
  <c r="M38" i="2"/>
  <c r="E38" i="2"/>
  <c r="L38" i="2"/>
  <c r="G38" i="2"/>
  <c r="I38" i="2"/>
  <c r="J38" i="2"/>
  <c r="H38" i="2"/>
  <c r="J39" i="2"/>
  <c r="M39" i="2"/>
  <c r="K39" i="2"/>
  <c r="I39" i="2"/>
  <c r="F39" i="2"/>
  <c r="G39" i="2"/>
  <c r="H39" i="2"/>
  <c r="L39" i="2"/>
  <c r="E39" i="2"/>
  <c r="L40" i="2"/>
  <c r="E40" i="2"/>
  <c r="H40" i="2"/>
  <c r="J40" i="2"/>
  <c r="I40" i="2"/>
  <c r="K40" i="2"/>
  <c r="F40" i="2"/>
  <c r="G40" i="2"/>
  <c r="M40" i="2"/>
  <c r="M41" i="2"/>
  <c r="J41" i="2"/>
  <c r="L41" i="2"/>
  <c r="F41" i="2"/>
  <c r="G41" i="2"/>
  <c r="H41" i="2"/>
  <c r="I41" i="2"/>
  <c r="K41" i="2"/>
  <c r="E41" i="2"/>
  <c r="H42" i="2"/>
  <c r="F42" i="2"/>
  <c r="K42" i="2"/>
  <c r="L42" i="2"/>
  <c r="M42" i="2"/>
  <c r="J42" i="2"/>
  <c r="I42" i="2"/>
  <c r="G42" i="2"/>
  <c r="E42" i="2"/>
  <c r="F43" i="2"/>
  <c r="G43" i="2"/>
  <c r="J43" i="2"/>
  <c r="E43" i="2"/>
  <c r="H43" i="2"/>
  <c r="L43" i="2"/>
  <c r="I43" i="2"/>
  <c r="K43" i="2"/>
  <c r="M43" i="2"/>
  <c r="J44" i="2"/>
  <c r="I44" i="2"/>
  <c r="F44" i="2"/>
  <c r="L44" i="2"/>
  <c r="G44" i="2"/>
  <c r="M44" i="2"/>
  <c r="H44" i="2"/>
  <c r="K44" i="2"/>
  <c r="E44" i="2"/>
  <c r="I45" i="2"/>
  <c r="K45" i="2"/>
  <c r="H45" i="2"/>
  <c r="L45" i="2"/>
  <c r="M45" i="2"/>
  <c r="E45" i="2"/>
  <c r="J45" i="2"/>
  <c r="G45" i="2"/>
  <c r="F45" i="2"/>
  <c r="N46" i="2"/>
  <c r="E46" i="2"/>
  <c r="G46" i="2"/>
  <c r="M46" i="2"/>
  <c r="J46" i="2"/>
  <c r="L46" i="2"/>
  <c r="K46" i="2"/>
  <c r="H46" i="2"/>
  <c r="I46" i="2"/>
  <c r="F46" i="2"/>
  <c r="I47" i="2"/>
  <c r="M47" i="2"/>
  <c r="F47" i="2"/>
  <c r="E47" i="2"/>
  <c r="J47" i="2"/>
  <c r="L47" i="2"/>
  <c r="N47" i="2"/>
  <c r="K47" i="2"/>
  <c r="G47" i="2"/>
  <c r="H47" i="2"/>
  <c r="G48" i="2"/>
  <c r="E48" i="2"/>
  <c r="N48" i="2"/>
  <c r="J48" i="2"/>
  <c r="M48" i="2"/>
  <c r="K48" i="2"/>
  <c r="L48" i="2"/>
  <c r="I48" i="2"/>
  <c r="F48" i="2"/>
  <c r="H48" i="2"/>
  <c r="I49" i="2"/>
  <c r="L49" i="2"/>
  <c r="K49" i="2"/>
  <c r="G49" i="2"/>
  <c r="H49" i="2"/>
  <c r="J49" i="2"/>
  <c r="N49" i="2"/>
  <c r="F49" i="2"/>
  <c r="M49" i="2"/>
  <c r="E49" i="2"/>
  <c r="H50" i="2"/>
  <c r="F50" i="2"/>
  <c r="I50" i="2"/>
  <c r="K50" i="2"/>
  <c r="L50" i="2"/>
  <c r="J50" i="2"/>
  <c r="E50" i="2"/>
  <c r="G50" i="2"/>
  <c r="N50" i="2"/>
  <c r="M50" i="2"/>
  <c r="N51" i="2"/>
  <c r="F51" i="2"/>
  <c r="G51" i="2"/>
  <c r="K51" i="2"/>
  <c r="J51" i="2"/>
  <c r="L51" i="2"/>
  <c r="H51" i="2"/>
  <c r="M51" i="2"/>
  <c r="I51" i="2"/>
  <c r="E51" i="2"/>
  <c r="F2" i="2"/>
  <c r="E2" i="2"/>
  <c r="J2" i="2"/>
  <c r="G2" i="2"/>
  <c r="I2" i="2"/>
  <c r="K2" i="2"/>
  <c r="M2" i="2"/>
  <c r="N2" i="2"/>
  <c r="H2" i="2"/>
  <c r="L2" i="2"/>
  <c r="D105" i="2"/>
  <c r="F105" i="2" l="1"/>
  <c r="E105" i="2"/>
  <c r="D108" i="2" s="1" a="1"/>
  <c r="J105" i="2"/>
  <c r="G105" i="2"/>
  <c r="I105" i="2"/>
  <c r="K105" i="2"/>
  <c r="M105" i="2"/>
  <c r="N105" i="2"/>
  <c r="H105" i="2"/>
  <c r="L105" i="2"/>
  <c r="D120" i="2" l="1"/>
  <c r="C120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<sst xmlns="http://schemas.openxmlformats.org/spreadsheetml/2006/main" count="576" uniqueCount="265">
  <si>
    <t>Question ID</t>
  </si>
  <si>
    <t>Category</t>
  </si>
  <si>
    <t>Question</t>
  </si>
  <si>
    <t>Pinecone</t>
  </si>
  <si>
    <t>Weaviate</t>
  </si>
  <si>
    <t>Milvus</t>
  </si>
  <si>
    <t>Qdrant</t>
  </si>
  <si>
    <t>Chroma</t>
  </si>
  <si>
    <t>FAISS</t>
  </si>
  <si>
    <t>Pgvector</t>
  </si>
  <si>
    <t>MongoDB</t>
  </si>
  <si>
    <t>Turbopuffer</t>
  </si>
  <si>
    <t>OpenSearch</t>
  </si>
  <si>
    <t>Q1</t>
  </si>
  <si>
    <t>Deployment &amp; Cost</t>
  </si>
  <si>
    <t>Q2</t>
  </si>
  <si>
    <t>Require multi-cloud availability (AWS, Azure, and GCP)?</t>
  </si>
  <si>
    <t>Q3</t>
  </si>
  <si>
    <t>Need embedded, local-first database for offline or edge apps?</t>
  </si>
  <si>
    <t>Q4</t>
  </si>
  <si>
    <t>Need low-cost serverless architecture to avoid paying for idle?</t>
  </si>
  <si>
    <t>Q5</t>
  </si>
  <si>
    <t>Require 100% open-source core code for independence?</t>
  </si>
  <si>
    <t>Q6</t>
  </si>
  <si>
    <t>Running system strictly self-hosted inside air-gapped network?</t>
  </si>
  <si>
    <t>Q7</t>
  </si>
  <si>
    <t>Require Enterprise SLAs, SOC2, and 24/7 dedicated support?</t>
  </si>
  <si>
    <t>Q8</t>
  </si>
  <si>
    <t>Need multi-region replication for global low latency?</t>
  </si>
  <si>
    <t>Q9</t>
  </si>
  <si>
    <t>Keeping raw infrastructure monthly spend at bare minimum?</t>
  </si>
  <si>
    <t>Q10</t>
  </si>
  <si>
    <t>Require native, isolated multi-tenancy at cluster layer?</t>
  </si>
  <si>
    <t>Q11</t>
  </si>
  <si>
    <t>Language &amp; SDK</t>
  </si>
  <si>
    <t>Highly optimized native Python SDK primary tool interface?</t>
  </si>
  <si>
    <t>Q12</t>
  </si>
  <si>
    <t>Top-tier JS/TypeScript SDK support for Node/Next.js apps?</t>
  </si>
  <si>
    <t>Q13</t>
  </si>
  <si>
    <t>Backend infrastructure requires robust native Go SDKs?</t>
  </si>
  <si>
    <t>Q14</t>
  </si>
  <si>
    <t>Require robust Java / JVM enterprise library compatibility?</t>
  </si>
  <si>
    <t>Q15</t>
  </si>
  <si>
    <t>Prefer standard gRPC interfaces over REST for high speed?</t>
  </si>
  <si>
    <t>Q16</t>
  </si>
  <si>
    <t>Database natively written in Rust for safety and performance?</t>
  </si>
  <si>
    <t>Q17</t>
  </si>
  <si>
    <t>Require standard SQL interface to query vector indexes?</t>
  </si>
  <si>
    <t>Q18</t>
  </si>
  <si>
    <t>Need native GraphQL endpoints built directly into core engine?</t>
  </si>
  <si>
    <t>Q19</t>
  </si>
  <si>
    <t>Query Capabilities</t>
  </si>
  <si>
    <t>Advanced hybrid search (dense vectors + sparse BM25 tokens)?</t>
  </si>
  <si>
    <t>Q20</t>
  </si>
  <si>
    <t>Need native multimodal data indexing (images, video, text)?</t>
  </si>
  <si>
    <t>Q21</t>
  </si>
  <si>
    <t>Complex metadata filtering using multi-level logical operators?</t>
  </si>
  <si>
    <t>Q22</t>
  </si>
  <si>
    <t>Real-time vector reranking directly within retrieval step?</t>
  </si>
  <si>
    <t>Q23</t>
  </si>
  <si>
    <t>Need schema-less BSON/JSON structure for dynamic metadata?</t>
  </si>
  <si>
    <t>Q24</t>
  </si>
  <si>
    <t>Time-to-live (TTL) configs for auto payload expiration?</t>
  </si>
  <si>
    <t>Q25</t>
  </si>
  <si>
    <t>Heavy payload data storage capacities attached to vectors?</t>
  </si>
  <si>
    <t>Q26</t>
  </si>
  <si>
    <t>Require native keyword-fusion rank matching out of the box?</t>
  </si>
  <si>
    <t>Q27</t>
  </si>
  <si>
    <t>Scale &amp; Performance</t>
  </si>
  <si>
    <t>Will your operational dataset scale past 1 Billion vectors?</t>
  </si>
  <si>
    <t>Q28</t>
  </si>
  <si>
    <t>Native GPU acceleration for high-speed index calculations?</t>
  </si>
  <si>
    <t>Q29</t>
  </si>
  <si>
    <t>Is getting ultra-low vector latency (sub-10ms) top metric?</t>
  </si>
  <si>
    <t>Q30</t>
  </si>
  <si>
    <t>Require rapid, un-cached cold-start search efficiencies?</t>
  </si>
  <si>
    <t>Q31</t>
  </si>
  <si>
    <t>Expect heavy parallel simultaneous query volumes (high QPS)?</t>
  </si>
  <si>
    <t>Q32</t>
  </si>
  <si>
    <t>Dynamic memory optimization like scalar/product quantization?</t>
  </si>
  <si>
    <t>Q33</t>
  </si>
  <si>
    <t>Index completely read-heavy with almost zero stream writes?</t>
  </si>
  <si>
    <t>Q34</t>
  </si>
  <si>
    <t>Real-time HNSW index updates without locking tables?</t>
  </si>
  <si>
    <t>Q35</t>
  </si>
  <si>
    <t>Operational Overhead</t>
  </si>
  <si>
    <t>Engineering infrastructure stack already runs on PostgreSQL?</t>
  </si>
  <si>
    <t>Q36</t>
  </si>
  <si>
    <t>Architecture stack already heavily deploys and depends on Mongo?</t>
  </si>
  <si>
    <t>Q37</t>
  </si>
  <si>
    <t>Goal to add exactly ZERO brand-new database dependencies?</t>
  </si>
  <si>
    <t>Q38</t>
  </si>
  <si>
    <t>Need transactional ACID security across vector index sets?</t>
  </si>
  <si>
    <t>Q39</t>
  </si>
  <si>
    <t>Total avoidance of tasks like clustering and shard tuning?</t>
  </si>
  <si>
    <t>Q40</t>
  </si>
  <si>
    <t>Team proficient at managing complex Kubernetes cluster topologies?</t>
  </si>
  <si>
    <t>Q41</t>
  </si>
  <si>
    <t>Run OpenSearch/Elasticsearch as main enterprise analytical layer?</t>
  </si>
  <si>
    <t>Q42</t>
  </si>
  <si>
    <t>Dev Experience</t>
  </si>
  <si>
    <t>Building a superfast basic RAG prototype within minutes?</t>
  </si>
  <si>
    <t>Q43</t>
  </si>
  <si>
    <t>Require out-of-the-box native extensions for LangChain/LlamaIndex?</t>
  </si>
  <si>
    <t>Q44</t>
  </si>
  <si>
    <t>Prefer simple Python function script pipelines over network requests?</t>
  </si>
  <si>
    <t>Q45</t>
  </si>
  <si>
    <t>Want a built-in browser UI dashboard natively served?</t>
  </si>
  <si>
    <t>Q46</t>
  </si>
  <si>
    <t>Developing client edge apps intended to operate on hardware?</t>
  </si>
  <si>
    <t>Q47</t>
  </si>
  <si>
    <t>Want text chunking and automated embedding models in engine?</t>
  </si>
  <si>
    <t>Q48</t>
  </si>
  <si>
    <t>Clean local debugging without running background Docker containers?</t>
  </si>
  <si>
    <t>Q49</t>
  </si>
  <si>
    <t>Require fine-grained Role-Based Access Controls (RBAC)?</t>
  </si>
  <si>
    <t>Q50</t>
  </si>
  <si>
    <t>Require state-of-the-art native graph-vector routing?</t>
  </si>
  <si>
    <t xml:space="preserve">User Priority </t>
  </si>
  <si>
    <t xml:space="preserve">Require fully managed SaaS to eliminate infra maintenance?
</t>
  </si>
  <si>
    <t>Medium</t>
  </si>
  <si>
    <t>High</t>
  </si>
  <si>
    <t>Calculated Weight</t>
  </si>
  <si>
    <t>Critical</t>
  </si>
  <si>
    <t>Not Needed</t>
  </si>
  <si>
    <t>Total Max Possible Weighted Points</t>
  </si>
  <si>
    <t>Q51</t>
  </si>
  <si>
    <t>Require automated cluster scaling up/down based on traffic load?</t>
  </si>
  <si>
    <t>Q52</t>
  </si>
  <si>
    <t>Need to avoid vector dimension licensing caps or cost tiers?</t>
  </si>
  <si>
    <t>Q53</t>
  </si>
  <si>
    <t>Do you require native deployment blueprints for AWS GovCloud?</t>
  </si>
  <si>
    <t>Q54</t>
  </si>
  <si>
    <t>Is a zero-base-cost, local Docker development environment mandatory?</t>
  </si>
  <si>
    <t>Q55</t>
  </si>
  <si>
    <t>Need strict control over raw computing instance and storage types?</t>
  </si>
  <si>
    <t>Q56</t>
  </si>
  <si>
    <t>Require single-tenant dedicated instances rather than shared infra?</t>
  </si>
  <si>
    <t>Q57</t>
  </si>
  <si>
    <t>Need explicit data residency guarantees for specific EU/APAC regions?</t>
  </si>
  <si>
    <t>Q58</t>
  </si>
  <si>
    <t>Require automated, managed index backup and snapshot scheduling?</t>
  </si>
  <si>
    <t>Q59</t>
  </si>
  <si>
    <t>Do you want flat, highly predictable SaaS pricing tiers?</t>
  </si>
  <si>
    <t>Q60</t>
  </si>
  <si>
    <t>Is a robust, production-tested C# / .NET SDK critical for your app?</t>
  </si>
  <si>
    <t>Q61</t>
  </si>
  <si>
    <t>Do you require full native support for Rust-based clients?</t>
  </si>
  <si>
    <t>Q62</t>
  </si>
  <si>
    <t>Need HTTP REST APIs available as a fallback fallback for curl commands?</t>
  </si>
  <si>
    <t>Q63</t>
  </si>
  <si>
    <t>Does your engineering team prefer ORM-style database modeling hooks?</t>
  </si>
  <si>
    <t>Q64</t>
  </si>
  <si>
    <t>Require an interactive web console for raw JSON/GraphQL query testing?</t>
  </si>
  <si>
    <t>Q65</t>
  </si>
  <si>
    <t>Do you require a well-documented PHP ecosystem vector integration?</t>
  </si>
  <si>
    <t>Q66</t>
  </si>
  <si>
    <t>Do you need robust Ruby on Rails client gems for vector workflows?</t>
  </si>
  <si>
    <t>Q67</t>
  </si>
  <si>
    <t>Do you need to store and match multiple vectors per data document?</t>
  </si>
  <si>
    <t>Q68</t>
  </si>
  <si>
    <t>Require semantic caching layer support natively out of the box?</t>
  </si>
  <si>
    <t>Q69</t>
  </si>
  <si>
    <t>Need to handle massive metadata payloads exceeding 10KB per vector?</t>
  </si>
  <si>
    <t>Q70</t>
  </si>
  <si>
    <t>Do you require custom scoring functions or scriptable vector weights?</t>
  </si>
  <si>
    <t>Q71</t>
  </si>
  <si>
    <t>Require geospatial coordinates filtering paired alongside vectors?</t>
  </si>
  <si>
    <t>Q72</t>
  </si>
  <si>
    <t>Need automatic data tokenization and text preprocessing pipelines?</t>
  </si>
  <si>
    <t>Q73</t>
  </si>
  <si>
    <t>Do you require precise, un-approximated exact KNN search options?</t>
  </si>
  <si>
    <t>Q74</t>
  </si>
  <si>
    <t>Require array/list matching operations within your metadata filters?</t>
  </si>
  <si>
    <t>Q75</t>
  </si>
  <si>
    <t>Do you need advanced Binary Quantization (BQ) for ultra-low RAM usage?</t>
  </si>
  <si>
    <t>Q76</t>
  </si>
  <si>
    <t>Will your environment demand over 5,000 parallel index updates per sec?</t>
  </si>
  <si>
    <t>Q77</t>
  </si>
  <si>
    <t>Do you require rapid dynamic index rebuilding without dropping QPS?</t>
  </si>
  <si>
    <t>Q78</t>
  </si>
  <si>
    <t>Is your query workflow heavily dependent on Cosine Distance math?</t>
  </si>
  <si>
    <t>Q79</t>
  </si>
  <si>
    <t>Is your query workflow heavily dependent on Dot Product calculations?</t>
  </si>
  <si>
    <t>Q80</t>
  </si>
  <si>
    <t>Do you need a system optimized for Manhattan/L1 Distance metrics?</t>
  </si>
  <si>
    <t>Q81</t>
  </si>
  <si>
    <t>Require sub-millisecond retrieval on small localized datasets?</t>
  </si>
  <si>
    <t>Q82</t>
  </si>
  <si>
    <t>Need automatic segment consolidation to maximize storage health?</t>
  </si>
  <si>
    <t>Q83</t>
  </si>
  <si>
    <t>Is your dev team lacking Linux/Docker sysadmin expertise entirely?</t>
  </si>
  <si>
    <t>Q84</t>
  </si>
  <si>
    <t>Require zero database downtime during rolling system engine updates?</t>
  </si>
  <si>
    <t>Q85</t>
  </si>
  <si>
    <t>Need to reuse existing enterprise database encryption keys (BYOK)?</t>
  </si>
  <si>
    <t>Q86</t>
  </si>
  <si>
    <t>Require deep Prometheus / Grafana native metric tracking hooks?</t>
  </si>
  <si>
    <t>Q87</t>
  </si>
  <si>
    <t>Do you need direct data pipeline syncing from Apache Kafka streams?</t>
  </si>
  <si>
    <t>Q88</t>
  </si>
  <si>
    <t>Need built-in data migration tools to move vectors between regions?</t>
  </si>
  <si>
    <t>Q89</t>
  </si>
  <si>
    <t>Require strict HIPAA BAA agreements signed by your database vendor?</t>
  </si>
  <si>
    <t>Q90</t>
  </si>
  <si>
    <t>Do you need a dead-simple embedded engine setup that installs via pip?</t>
  </si>
  <si>
    <t>Q91</t>
  </si>
  <si>
    <t>Require native API compatibility with the OpenAI vector spec format?</t>
  </si>
  <si>
    <t>Q92</t>
  </si>
  <si>
    <t>Do you require detailed, step-by-step video learning tracks from the vendor?</t>
  </si>
  <si>
    <t>Q93</t>
  </si>
  <si>
    <t>Require rich telemetry data or query trace debugging workflows?</t>
  </si>
  <si>
    <t>Q94</t>
  </si>
  <si>
    <t>Need native notebook plug-ins to see vector clusters visually?</t>
  </si>
  <si>
    <t>Q95</t>
  </si>
  <si>
    <t>Do you require automated text chunking window overlaps out of the box?</t>
  </si>
  <si>
    <t>Q96</t>
  </si>
  <si>
    <t>Prefer an open Slack/Discord community with thousands of active devs?</t>
  </si>
  <si>
    <t>Q97</t>
  </si>
  <si>
    <t>Need to quickly mock your vector index for standalone unit testing?</t>
  </si>
  <si>
    <t>Q98</t>
  </si>
  <si>
    <t>Require seamless out-of-the-box integration with Hugging Face spaces?</t>
  </si>
  <si>
    <t>Q99</t>
  </si>
  <si>
    <t>Do you need native support for tracking data lineage and model updates?</t>
  </si>
  <si>
    <t>Q100</t>
  </si>
  <si>
    <t>Require advanced enterprise security controls like Row-Level Security (RLS)?</t>
  </si>
  <si>
    <t xml:space="preserve">Platforms </t>
  </si>
  <si>
    <t>Scores</t>
  </si>
  <si>
    <t>Selected Platform</t>
  </si>
  <si>
    <t>Platform [1, 2]</t>
  </si>
  <si>
    <t>Best For</t>
  </si>
  <si>
    <t>Pros (+)</t>
  </si>
  <si>
    <t>Cons (-)</t>
  </si>
  <si>
    <t>Fully managed, zero-ops enterprise RAG applications scaling to production instantly.</t>
  </si>
  <si>
    <t>Fully managed SaaS; no infrastructure overhead; excellent indexing speed; native hybrid search.</t>
  </si>
  <si>
    <t>Vendor lock-in; closed source; gets very expensive at massive scales; no local offline mode.</t>
  </si>
  <si>
    <t>GraphQL-centric, developer-friendly object modeling and automated RAG pipelines.</t>
  </si>
  <si>
    <t>Built-in text chunking; native GraphQL support; dynamic vector routing; excellent hybrid search.</t>
  </si>
  <si>
    <t>High memory consumption; self-hosting complex distributed setups requires steep learning.</t>
  </si>
  <si>
    <t>High-concurrency enterprise pipelines scaling past billions of dense vectors with GPU support.</t>
  </si>
  <si>
    <t>Billions-scale data capability; native GPU acceleration; highly resilient distributed architecture.</t>
  </si>
  <si>
    <t>High operational overhead; complex Kubernetes dependencies; expensive to run idle clusters.</t>
  </si>
  <si>
    <t>Ultra-low latency lookups and memory-efficient production apps written in Rust.</t>
  </si>
  <si>
    <t>Exceptional speed; memory optimized (advanced quantization); native payload storage; written in Rust.</t>
  </si>
  <si>
    <t>Smaller cloud ecosystem presence than Pinecone; managed SaaS dashboard features are basic.</t>
  </si>
  <si>
    <t>Rapid prototyping, lightweight applications, and local python-first notebook environments.</t>
  </si>
  <si>
    <t>Zero configuration; perfect for fast local RAG prototyping; free open-source tool.</t>
  </si>
  <si>
    <t>Not built for billion-scale production; multi-node distributed scaling is weak; basic features.</t>
  </si>
  <si>
    <t>In-memory research, offline batch vector indexing, and raw mathematical similarity calculation.</t>
  </si>
  <si>
    <t>Industry-standard algorithms; fastest raw read performance; native GPU acceleration; free open-source.</t>
  </si>
  <si>
    <t>No built-in metadata database; no real-time dynamic CRUD updates without full index rebuilding.</t>
  </si>
  <si>
    <t>Teams already using PostgreSQL who want to avoid adding a new database engine.</t>
  </si>
  <si>
    <t>Zero architectural overhead if already on Postgres; full ACID compliance; relational joins work natively.</t>
  </si>
  <si>
    <t>Relational overhead impacts speed at massive scale; HNSW index builds consume high RAM.</t>
  </si>
  <si>
    <t>MongoDB Atlas</t>
  </si>
  <si>
    <t>Teams heavily reliant on document stores handling deeply nested, rapidly changing metadata.</t>
  </si>
  <si>
    <t>Unified transactional system; perfect schema-less JSON metadata handling; zero infrastructure setup.</t>
  </si>
  <si>
    <t>Hybrid dense/sparse search performance trails dedicated engines; latency is higher at high scales.</t>
  </si>
  <si>
    <t>Ultra-low-cost, serverless applications utilizing object storage for cold-start datasets.</t>
  </si>
  <si>
    <t>Lowest baseline cost; uses object storage natively; serverless architecture scales down to zero.</t>
  </si>
  <si>
    <t>Higher query latency for un-cached data; lacks complex enterprise access controls/RBAC.</t>
  </si>
  <si>
    <t>Organizations running centralized text analytics, log management, and traditional enterprise search.</t>
  </si>
  <si>
    <t>Industry-leading hybrid text/vector relevance fusion; robust enterprise security rules natively.</t>
  </si>
  <si>
    <t>Heavy resource footprint; complex cluster management overhead; slower vector indexing.</t>
  </si>
  <si>
    <r>
      <t xml:space="preserve">Cost Rating </t>
    </r>
    <r>
      <rPr>
        <b/>
        <i/>
        <sz val="16"/>
        <color theme="1"/>
        <rFont val="Calibri"/>
        <family val="2"/>
        <scheme val="minor"/>
      </rPr>
      <t>(1: Cheap, 5: Costly)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</si>
</sst>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i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top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 applyAlignment="1">
      <alignment wrapText="1"/>
    </xf>
    <xf numFmtId="2" fontId="4" fillId="0" borderId="0" xfId="0" applyNumberFormat="1" applyFont="1"/>
    <xf numFmtId="2" fontId="2" fillId="0" borderId="0" xfId="0" applyNumberFormat="1" applyFont="1"/>
    <xf numFmtId="0" fontId="3" fillId="0" borderId="0" xfId="0" applyFont="1"/>
    <xf numFmtId="2" fontId="0" fillId="0" borderId="0" xfId="0" applyNumberFormat="1" applyAlignment="1">
      <alignment vertical="top" wrapText="1"/>
    </xf>
    <xf numFmtId="2" fontId="0" fillId="0" borderId="0" xfId="0" applyNumberFormat="1" applyAlignment="1">
      <alignment wrapText="1"/>
    </xf>
  </cellXfs>
  <cellStyles count="1">
    <cellStyle name="Normal" xfId="0" builtinId="0"/>
  </cellStyles>
  <dxfs count="25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  <vertical/>
        <horizontal/>
      </border>
    </dxf>
    <dxf>
      <border outline="0">
        <bottom style="medium">
          <color rgb="FFDCDFE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  <vertical/>
        <horizontal/>
      </border>
    </dxf>
    <dxf>
      <border outline="0">
        <bottom style="medium">
          <color rgb="FFDCDFE5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5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Vector</a:t>
            </a:r>
            <a:r>
              <a:rPr lang="en-IN" baseline="0"/>
              <a:t> DB Technology Vendor Evaluation</a:t>
            </a:r>
            <a:endParaRPr lang="en-IN"/>
          </a:p>
        </c:rich>
      </c:tx>
      <c:layout>
        <c:manualLayout>
          <c:xMode val="edge"/>
          <c:yMode val="edge"/>
          <c:x val="0.10285714285714287"/>
          <c:y val="1.5503875968992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5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627759030121235"/>
          <c:y val="0.15760639733117474"/>
          <c:w val="0.91901470649502148"/>
          <c:h val="0.79421024018088271"/>
        </c:manualLayout>
      </c:layout>
      <c:radarChart>
        <c:radarStyle val="marker"/>
        <c:varyColors val="0"/>
        <c:ser>
          <c:idx val="0"/>
          <c:order val="0"/>
          <c:tx>
            <c:strRef>
              <c:f>Evaluation_Engine!$D$107</c:f>
              <c:strCache>
                <c:ptCount val="1"/>
                <c:pt idx="0">
                  <c:v>Scores</c:v>
                </c:pt>
              </c:strCache>
            </c:strRef>
          </c:tx>
          <c:spPr>
            <a:ln w="28575" cap="rnd">
              <a:solidFill>
                <a:schemeClr val="accent5"/>
              </a:solidFill>
            </a:ln>
            <a:effectLst>
              <a:glow rad="76200">
                <a:schemeClr val="accent5">
                  <a:satMod val="175000"/>
                  <a:alpha val="3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Evaluation_Engine!$C$108:$C$117</c:f>
              <c:strCache>
                <c:ptCount val="10"/>
                <c:pt idx="0">
                  <c:v>Pinecone</c:v>
                </c:pt>
                <c:pt idx="1">
                  <c:v>Weaviate</c:v>
                </c:pt>
                <c:pt idx="2">
                  <c:v>Milvus</c:v>
                </c:pt>
                <c:pt idx="3">
                  <c:v>Qdrant</c:v>
                </c:pt>
                <c:pt idx="4">
                  <c:v>Chroma</c:v>
                </c:pt>
                <c:pt idx="5">
                  <c:v>FAISS</c:v>
                </c:pt>
                <c:pt idx="6">
                  <c:v>Pgvector</c:v>
                </c:pt>
                <c:pt idx="7">
                  <c:v>MongoDB</c:v>
                </c:pt>
                <c:pt idx="8">
                  <c:v>Turbopuffer</c:v>
                </c:pt>
                <c:pt idx="9">
                  <c:v>OpenSearch</c:v>
                </c:pt>
              </c:strCache>
            </c:strRef>
          </c:cat>
          <c:val>
            <c:numRef>
              <c:f>Evaluation_Engine!$D$108:$D$117</c:f>
              <c:numCache>
                <c:formatCode>0.00</c:formatCode>
                <c:ptCount val="10"/>
                <c:pt idx="0">
                  <c:v>61.510791366906467</c:v>
                </c:pt>
                <c:pt idx="1">
                  <c:v>74.844124700239817</c:v>
                </c:pt>
                <c:pt idx="2">
                  <c:v>77.529976019184659</c:v>
                </c:pt>
                <c:pt idx="3">
                  <c:v>79.28057553956836</c:v>
                </c:pt>
                <c:pt idx="4">
                  <c:v>47.338129496402885</c:v>
                </c:pt>
                <c:pt idx="5">
                  <c:v>38.489208633093533</c:v>
                </c:pt>
                <c:pt idx="6">
                  <c:v>57.002398081534764</c:v>
                </c:pt>
                <c:pt idx="7">
                  <c:v>68.84892086330936</c:v>
                </c:pt>
                <c:pt idx="8">
                  <c:v>48.105515587529979</c:v>
                </c:pt>
                <c:pt idx="9">
                  <c:v>74.556354916067136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D2-44FB-B3DA-477DDB9528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720558831"/>
        <c:axId val="1720560271"/>
      </c:radarChart>
      <c:catAx>
        <c:axId val="1720558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560271"/>
        <c:crosses val="autoZero"/>
        <c:auto val="1"/>
        <c:lblAlgn val="ctr"/>
        <c:lblOffset val="100"/>
        <c:noMultiLvlLbl val="0"/>
      </c:catAx>
      <c:valAx>
        <c:axId val="1720560271"/>
        <c:scaling>
          <c:orientation val="minMax"/>
          <c:max val="4"/>
          <c:min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558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121</xdr:row>
      <xdr:rowOff>0</xdr:rowOff>
    </xdr:from>
    <xdr:to>
      <xdr:col>5</xdr:col>
      <xdr:colOff>754380</xdr:colOff>
      <xdr:row>146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B900B7-B2E6-4FD0-B7F6-DDDE9F4486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12A707-EA92-4325-81A7-B4CE672CFC52}" name="Table1" displayName="Table1" ref="A1:M101" totalsRowShown="0" headerRowDxfId="9" dataDxfId="10" headerRowBorderDxfId="24">
  <autoFilter ref="A1:M101" xr:uid="{8912A707-EA92-4325-81A7-B4CE672CFC52}"/>
  <tableColumns count="13">
    <tableColumn id="1" xr3:uid="{210ED270-0E1B-4CDF-9035-50F29AE2AD46}" name="Question ID" dataDxfId="23"/>
    <tableColumn id="2" xr3:uid="{74DD8E4E-D35F-4E21-A1B8-5BD1608187BE}" name="Category" dataDxfId="22"/>
    <tableColumn id="3" xr3:uid="{EC6A1EF3-C6E0-4A8B-AFA1-E46F612E4395}" name="Question" dataDxfId="21"/>
    <tableColumn id="4" xr3:uid="{A8183797-E0A0-4209-ADFB-C5BBBBEE3B81}" name="Pinecone" dataDxfId="20"/>
    <tableColumn id="5" xr3:uid="{FC534620-ED94-434E-8FEC-FC858FEC30C3}" name="Weaviate" dataDxfId="19"/>
    <tableColumn id="6" xr3:uid="{81263A56-2D57-4763-B63D-BAA7AA4D6615}" name="Milvus" dataDxfId="18"/>
    <tableColumn id="7" xr3:uid="{9F5FE47B-15DB-46ED-8AAA-ACAEF5779D58}" name="Qdrant" dataDxfId="17"/>
    <tableColumn id="8" xr3:uid="{CC916DE1-C9DB-43F9-B4F1-B1C55645F21C}" name="Chroma" dataDxfId="16"/>
    <tableColumn id="9" xr3:uid="{18381B9D-3971-4EE4-8866-44AC86445464}" name="FAISS" dataDxfId="15"/>
    <tableColumn id="10" xr3:uid="{564C23E8-7556-4D55-906D-96E9939FCA08}" name="Pgvector" dataDxfId="14"/>
    <tableColumn id="11" xr3:uid="{203B716F-3D23-4C0D-8F78-147D93963484}" name="MongoDB" dataDxfId="13"/>
    <tableColumn id="12" xr3:uid="{BF2A2511-BF59-49FF-8573-EF5AA90CB8B0}" name="Turbopuffer" dataDxfId="12"/>
    <tableColumn id="13" xr3:uid="{DE1B8EBE-AF69-453D-B104-96FE6C86A36E}" name="OpenSearch" dataDxfId="11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1E1BD53-A505-4F09-A03D-14BAE2247A31}" name="Table4" displayName="Table4" ref="A1:N106" totalsRowShown="0" headerRowDxfId="8">
  <autoFilter ref="A1:N106" xr:uid="{D1E1BD53-A505-4F09-A03D-14BAE2247A31}"/>
  <tableColumns count="14">
    <tableColumn id="1" xr3:uid="{3B403160-5859-43C7-9EF5-5ABEF55BF9F2}" name="Question ID"/>
    <tableColumn id="2" xr3:uid="{4A9C3B44-3414-4457-B3E7-45FF8516E696}" name="Question"/>
    <tableColumn id="3" xr3:uid="{7790376B-F87B-4D19-A64E-E2C293E9B02B}" name="User Priority "/>
    <tableColumn id="4" xr3:uid="{6D7BDE6B-C1D2-4D4F-AFBD-262C7B5442C5}" name="Calculated Weight"/>
    <tableColumn id="5" xr3:uid="{737FAF7D-CA31-4858-8F18-23B7F70455B8}" name="Pinecone"/>
    <tableColumn id="6" xr3:uid="{715049DD-19BB-435E-A783-33A12B333003}" name="Weaviate"/>
    <tableColumn id="7" xr3:uid="{5F878CC3-6A5E-4DC2-8882-7EF43DD47279}" name="Milvus"/>
    <tableColumn id="8" xr3:uid="{D5826F0E-423E-4CE2-9FD1-431D65485B15}" name="Qdrant"/>
    <tableColumn id="9" xr3:uid="{06CC3235-620A-4EA2-A1CF-1716D2D0FDDA}" name="Chroma"/>
    <tableColumn id="10" xr3:uid="{5C1A09A3-106B-4B4E-83B9-70B2A65930ED}" name="FAISS"/>
    <tableColumn id="11" xr3:uid="{A9C075E6-C141-44A3-BF6D-5A2FE9860A21}" name="Pgvector"/>
    <tableColumn id="12" xr3:uid="{9C989C97-20D8-4F35-A551-4F9692376C3A}" name="MongoDB"/>
    <tableColumn id="13" xr3:uid="{DF63530F-3630-47D4-9481-1470C0C1B841}" name="Turbopuffer"/>
    <tableColumn id="14" xr3:uid="{F7C256A0-5D83-436C-9C2C-B8BCC1C53F8D}" name="OpenSearch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8819FBA-BF50-4F09-A7B1-1ED6DF55EB7F}" name="Table6" displayName="Table6" ref="A1:E11" totalsRowShown="0" headerRowDxfId="0" dataDxfId="1" headerRowBorderDxfId="7">
  <autoFilter ref="A1:E11" xr:uid="{B8819FBA-BF50-4F09-A7B1-1ED6DF55EB7F}"/>
  <tableColumns count="5">
    <tableColumn id="1" xr3:uid="{24C49567-2698-4285-8365-EEE99F9F8325}" name="Platform [1, 2]" dataDxfId="6"/>
    <tableColumn id="2" xr3:uid="{E80D31D1-7EEB-45C4-95EA-BD526A6A7DB1}" name="Best For" dataDxfId="5"/>
    <tableColumn id="3" xr3:uid="{76E30015-A0A9-40F1-B2C4-4D8C909375CF}" name="Cost Rating (1: Cheap, 5: Costly)" dataDxfId="4"/>
    <tableColumn id="4" xr3:uid="{127B46D3-F803-4F26-9171-D30A13BB6E1C}" name="Pros (+)" dataDxfId="3"/>
    <tableColumn id="5" xr3:uid="{0BA641D3-2935-4155-B5A3-B07D43768273}" name="Cons (-)" dataDxfId="2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1A168-CEFE-4DB1-B6EB-114174B3830B}">
  <dimension ref="A1:U124"/>
  <sheetViews>
    <sheetView workbookViewId="0">
      <selection activeCell="D4" sqref="D4"/>
    </sheetView>
  </sheetViews>
  <sheetFormatPr defaultRowHeight="14.4" x14ac:dyDescent="0.3"/>
  <cols>
    <col min="1" max="1" width="17.77734375" customWidth="1"/>
    <col min="2" max="2" width="17.21875" customWidth="1"/>
    <col min="3" max="3" width="25.44140625" customWidth="1"/>
    <col min="4" max="4" width="17.5546875" customWidth="1"/>
    <col min="5" max="5" width="17.33203125" customWidth="1"/>
    <col min="6" max="6" width="13" customWidth="1"/>
    <col min="7" max="7" width="13.5546875" customWidth="1"/>
    <col min="8" max="8" width="17.77734375" customWidth="1"/>
    <col min="9" max="9" width="9.6640625" customWidth="1"/>
    <col min="10" max="10" width="17.109375" customWidth="1"/>
    <col min="11" max="11" width="15.44140625" customWidth="1"/>
    <col min="12" max="12" width="21.5546875" customWidth="1"/>
    <col min="13" max="13" width="23.6640625" customWidth="1"/>
  </cols>
  <sheetData>
    <row r="1" spans="1:21" ht="42.6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/>
      <c r="O1" s="1"/>
      <c r="P1" s="1"/>
      <c r="Q1" s="1"/>
      <c r="R1" s="1"/>
      <c r="S1" s="1"/>
      <c r="T1" s="1"/>
      <c r="U1" s="1"/>
    </row>
    <row r="2" spans="1:21" ht="72" customHeight="1" thickBot="1" x14ac:dyDescent="0.35">
      <c r="A2" s="7" t="s">
        <v>13</v>
      </c>
      <c r="B2" s="8" t="s">
        <v>14</v>
      </c>
      <c r="C2" s="8" t="s">
        <v>119</v>
      </c>
      <c r="D2" s="8">
        <v>1</v>
      </c>
      <c r="E2" s="8">
        <v>0.9</v>
      </c>
      <c r="F2" s="8">
        <v>0.9</v>
      </c>
      <c r="G2" s="8">
        <v>0.9</v>
      </c>
      <c r="H2" s="8">
        <v>0.4</v>
      </c>
      <c r="I2" s="8">
        <v>0.1</v>
      </c>
      <c r="J2" s="8">
        <v>0.3</v>
      </c>
      <c r="K2" s="8">
        <v>0.8</v>
      </c>
      <c r="L2" s="8">
        <v>1</v>
      </c>
      <c r="M2" s="8">
        <v>0.8</v>
      </c>
      <c r="N2" s="1"/>
      <c r="O2" s="1"/>
      <c r="P2" s="1"/>
      <c r="Q2" s="1"/>
      <c r="R2" s="1"/>
      <c r="S2" s="1"/>
      <c r="T2" s="1"/>
      <c r="U2" s="1"/>
    </row>
    <row r="3" spans="1:21" ht="54.6" thickBot="1" x14ac:dyDescent="0.35">
      <c r="A3" s="7" t="s">
        <v>15</v>
      </c>
      <c r="B3" s="8" t="s">
        <v>14</v>
      </c>
      <c r="C3" s="8" t="s">
        <v>16</v>
      </c>
      <c r="D3" s="8">
        <v>1</v>
      </c>
      <c r="E3" s="8">
        <v>0.9</v>
      </c>
      <c r="F3" s="8">
        <v>0.9</v>
      </c>
      <c r="G3" s="8">
        <v>0.9</v>
      </c>
      <c r="H3" s="8">
        <v>0.1</v>
      </c>
      <c r="I3" s="8">
        <v>0.1</v>
      </c>
      <c r="J3" s="8">
        <v>0.6</v>
      </c>
      <c r="K3" s="8">
        <v>1</v>
      </c>
      <c r="L3" s="8">
        <v>0.4</v>
      </c>
      <c r="M3" s="8">
        <v>0.8</v>
      </c>
      <c r="N3" s="1"/>
      <c r="O3" s="1"/>
      <c r="P3" s="1"/>
      <c r="Q3" s="1"/>
      <c r="R3" s="1"/>
      <c r="S3" s="1"/>
      <c r="T3" s="1"/>
      <c r="U3" s="1"/>
    </row>
    <row r="4" spans="1:21" ht="54.6" thickBot="1" x14ac:dyDescent="0.35">
      <c r="A4" s="7" t="s">
        <v>17</v>
      </c>
      <c r="B4" s="8" t="s">
        <v>14</v>
      </c>
      <c r="C4" s="8" t="s">
        <v>18</v>
      </c>
      <c r="D4" s="8">
        <v>0.1</v>
      </c>
      <c r="E4" s="8">
        <v>0.1</v>
      </c>
      <c r="F4" s="8">
        <v>0.1</v>
      </c>
      <c r="G4" s="8">
        <v>0.1</v>
      </c>
      <c r="H4" s="8">
        <v>1</v>
      </c>
      <c r="I4" s="8">
        <v>0.9</v>
      </c>
      <c r="J4" s="8">
        <v>0.2</v>
      </c>
      <c r="K4" s="8">
        <v>0.1</v>
      </c>
      <c r="L4" s="8">
        <v>0.1</v>
      </c>
      <c r="M4" s="8">
        <v>0.1</v>
      </c>
      <c r="N4" s="1"/>
      <c r="O4" s="1"/>
      <c r="P4" s="1"/>
      <c r="Q4" s="1"/>
      <c r="R4" s="1"/>
      <c r="S4" s="1"/>
      <c r="T4" s="1"/>
      <c r="U4" s="1"/>
    </row>
    <row r="5" spans="1:21" ht="72.599999999999994" thickBot="1" x14ac:dyDescent="0.35">
      <c r="A5" s="7" t="s">
        <v>19</v>
      </c>
      <c r="B5" s="8" t="s">
        <v>14</v>
      </c>
      <c r="C5" s="8" t="s">
        <v>20</v>
      </c>
      <c r="D5" s="8">
        <v>1</v>
      </c>
      <c r="E5" s="8">
        <v>0.7</v>
      </c>
      <c r="F5" s="8">
        <v>0.8</v>
      </c>
      <c r="G5" s="8">
        <v>0.8</v>
      </c>
      <c r="H5" s="8">
        <v>0.5</v>
      </c>
      <c r="I5" s="8">
        <v>0.1</v>
      </c>
      <c r="J5" s="8">
        <v>0.2</v>
      </c>
      <c r="K5" s="8">
        <v>0.4</v>
      </c>
      <c r="L5" s="8">
        <v>1</v>
      </c>
      <c r="M5" s="8">
        <v>0.3</v>
      </c>
      <c r="N5" s="1"/>
      <c r="O5" s="1"/>
      <c r="P5" s="1"/>
      <c r="Q5" s="1"/>
      <c r="R5" s="1"/>
      <c r="S5" s="1"/>
      <c r="T5" s="1"/>
      <c r="U5" s="1"/>
    </row>
    <row r="6" spans="1:21" ht="54.6" thickBot="1" x14ac:dyDescent="0.35">
      <c r="A6" s="7" t="s">
        <v>21</v>
      </c>
      <c r="B6" s="8" t="s">
        <v>14</v>
      </c>
      <c r="C6" s="8" t="s">
        <v>22</v>
      </c>
      <c r="D6" s="8">
        <v>0.1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0.2</v>
      </c>
      <c r="L6" s="8">
        <v>0.1</v>
      </c>
      <c r="M6" s="8">
        <v>1</v>
      </c>
      <c r="N6" s="1"/>
      <c r="O6" s="1"/>
      <c r="P6" s="1"/>
      <c r="Q6" s="1"/>
      <c r="R6" s="1"/>
      <c r="S6" s="1"/>
      <c r="T6" s="1"/>
      <c r="U6" s="1"/>
    </row>
    <row r="7" spans="1:21" ht="54.6" thickBot="1" x14ac:dyDescent="0.35">
      <c r="A7" s="7" t="s">
        <v>23</v>
      </c>
      <c r="B7" s="8" t="s">
        <v>14</v>
      </c>
      <c r="C7" s="8" t="s">
        <v>24</v>
      </c>
      <c r="D7" s="8">
        <v>0.1</v>
      </c>
      <c r="E7" s="8">
        <v>1</v>
      </c>
      <c r="F7" s="8">
        <v>1</v>
      </c>
      <c r="G7" s="8">
        <v>1</v>
      </c>
      <c r="H7" s="8">
        <v>0.8</v>
      </c>
      <c r="I7" s="8">
        <v>0.9</v>
      </c>
      <c r="J7" s="8">
        <v>1</v>
      </c>
      <c r="K7" s="8">
        <v>0.5</v>
      </c>
      <c r="L7" s="8">
        <v>0.1</v>
      </c>
      <c r="M7" s="8">
        <v>1</v>
      </c>
      <c r="N7" s="1"/>
      <c r="O7" s="1"/>
      <c r="P7" s="1"/>
      <c r="Q7" s="1"/>
      <c r="R7" s="1"/>
      <c r="S7" s="1"/>
      <c r="T7" s="1"/>
      <c r="U7" s="1"/>
    </row>
    <row r="8" spans="1:21" ht="54.6" thickBot="1" x14ac:dyDescent="0.35">
      <c r="A8" s="7" t="s">
        <v>25</v>
      </c>
      <c r="B8" s="8" t="s">
        <v>14</v>
      </c>
      <c r="C8" s="8" t="s">
        <v>26</v>
      </c>
      <c r="D8" s="8">
        <v>1</v>
      </c>
      <c r="E8" s="8">
        <v>0.9</v>
      </c>
      <c r="F8" s="8">
        <v>0.9</v>
      </c>
      <c r="G8" s="8">
        <v>0.9</v>
      </c>
      <c r="H8" s="8">
        <v>0.3</v>
      </c>
      <c r="I8" s="8">
        <v>0.1</v>
      </c>
      <c r="J8" s="8">
        <v>0.5</v>
      </c>
      <c r="K8" s="8">
        <v>1</v>
      </c>
      <c r="L8" s="8">
        <v>0.7</v>
      </c>
      <c r="M8" s="8">
        <v>0.9</v>
      </c>
      <c r="N8" s="1"/>
      <c r="O8" s="1"/>
      <c r="P8" s="1"/>
      <c r="Q8" s="1"/>
      <c r="R8" s="1"/>
      <c r="S8" s="1"/>
      <c r="T8" s="1"/>
      <c r="U8" s="1"/>
    </row>
    <row r="9" spans="1:21" ht="54.6" thickBot="1" x14ac:dyDescent="0.35">
      <c r="A9" s="7" t="s">
        <v>27</v>
      </c>
      <c r="B9" s="8" t="s">
        <v>14</v>
      </c>
      <c r="C9" s="8" t="s">
        <v>28</v>
      </c>
      <c r="D9" s="8">
        <v>0.9</v>
      </c>
      <c r="E9" s="8">
        <v>0.7</v>
      </c>
      <c r="F9" s="8">
        <v>0.8</v>
      </c>
      <c r="G9" s="8">
        <v>0.8</v>
      </c>
      <c r="H9" s="8">
        <v>0.1</v>
      </c>
      <c r="I9" s="8">
        <v>0.1</v>
      </c>
      <c r="J9" s="8">
        <v>0.6</v>
      </c>
      <c r="K9" s="8">
        <v>1</v>
      </c>
      <c r="L9" s="8">
        <v>0.4</v>
      </c>
      <c r="M9" s="8">
        <v>0.8</v>
      </c>
      <c r="N9" s="1"/>
      <c r="O9" s="1"/>
      <c r="P9" s="1"/>
      <c r="Q9" s="1"/>
      <c r="R9" s="1"/>
      <c r="S9" s="1"/>
      <c r="T9" s="1"/>
      <c r="U9" s="1"/>
    </row>
    <row r="10" spans="1:21" ht="72.599999999999994" thickBot="1" x14ac:dyDescent="0.35">
      <c r="A10" s="7" t="s">
        <v>29</v>
      </c>
      <c r="B10" s="8" t="s">
        <v>14</v>
      </c>
      <c r="C10" s="8" t="s">
        <v>30</v>
      </c>
      <c r="D10" s="8">
        <v>0.2</v>
      </c>
      <c r="E10" s="8">
        <v>0.4</v>
      </c>
      <c r="F10" s="8">
        <v>0.4</v>
      </c>
      <c r="G10" s="8">
        <v>0.5</v>
      </c>
      <c r="H10" s="8">
        <v>0.8</v>
      </c>
      <c r="I10" s="8">
        <v>0.9</v>
      </c>
      <c r="J10" s="8">
        <v>0.6</v>
      </c>
      <c r="K10" s="8">
        <v>0.3</v>
      </c>
      <c r="L10" s="8">
        <v>1</v>
      </c>
      <c r="M10" s="8">
        <v>0.4</v>
      </c>
      <c r="N10" s="1"/>
      <c r="O10" s="1"/>
      <c r="P10" s="1"/>
      <c r="Q10" s="1"/>
      <c r="R10" s="1"/>
      <c r="S10" s="1"/>
      <c r="T10" s="1"/>
      <c r="U10" s="1"/>
    </row>
    <row r="11" spans="1:21" ht="54.6" thickBot="1" x14ac:dyDescent="0.35">
      <c r="A11" s="7" t="s">
        <v>31</v>
      </c>
      <c r="B11" s="8" t="s">
        <v>14</v>
      </c>
      <c r="C11" s="8" t="s">
        <v>32</v>
      </c>
      <c r="D11" s="8">
        <v>0.8</v>
      </c>
      <c r="E11" s="8">
        <v>1</v>
      </c>
      <c r="F11" s="8">
        <v>1</v>
      </c>
      <c r="G11" s="8">
        <v>1</v>
      </c>
      <c r="H11" s="8">
        <v>0.2</v>
      </c>
      <c r="I11" s="8">
        <v>0.1</v>
      </c>
      <c r="J11" s="8">
        <v>0.6</v>
      </c>
      <c r="K11" s="8">
        <v>0.7</v>
      </c>
      <c r="L11" s="8">
        <v>0.3</v>
      </c>
      <c r="M11" s="8">
        <v>0.9</v>
      </c>
      <c r="N11" s="1"/>
      <c r="O11" s="1"/>
      <c r="P11" s="1"/>
      <c r="Q11" s="1"/>
      <c r="R11" s="1"/>
      <c r="S11" s="1"/>
      <c r="T11" s="1"/>
      <c r="U11" s="1"/>
    </row>
    <row r="12" spans="1:21" ht="54.6" thickBot="1" x14ac:dyDescent="0.35">
      <c r="A12" s="7" t="s">
        <v>33</v>
      </c>
      <c r="B12" s="8" t="s">
        <v>34</v>
      </c>
      <c r="C12" s="8" t="s">
        <v>35</v>
      </c>
      <c r="D12" s="8">
        <v>1</v>
      </c>
      <c r="E12" s="8">
        <v>1</v>
      </c>
      <c r="F12" s="8">
        <v>1</v>
      </c>
      <c r="G12" s="8">
        <v>1</v>
      </c>
      <c r="H12" s="8">
        <v>1</v>
      </c>
      <c r="I12" s="8">
        <v>1</v>
      </c>
      <c r="J12" s="8">
        <v>0.8</v>
      </c>
      <c r="K12" s="8">
        <v>0.9</v>
      </c>
      <c r="L12" s="8">
        <v>0.9</v>
      </c>
      <c r="M12" s="8">
        <v>0.9</v>
      </c>
      <c r="N12" s="1"/>
      <c r="O12" s="1"/>
      <c r="P12" s="1"/>
      <c r="Q12" s="1"/>
      <c r="R12" s="1"/>
      <c r="S12" s="1"/>
      <c r="T12" s="1"/>
      <c r="U12" s="1"/>
    </row>
    <row r="13" spans="1:21" ht="54.6" thickBot="1" x14ac:dyDescent="0.35">
      <c r="A13" s="7" t="s">
        <v>36</v>
      </c>
      <c r="B13" s="8" t="s">
        <v>34</v>
      </c>
      <c r="C13" s="8" t="s">
        <v>37</v>
      </c>
      <c r="D13" s="8">
        <v>1</v>
      </c>
      <c r="E13" s="8">
        <v>1</v>
      </c>
      <c r="F13" s="8">
        <v>0.9</v>
      </c>
      <c r="G13" s="8">
        <v>1</v>
      </c>
      <c r="H13" s="8">
        <v>0.9</v>
      </c>
      <c r="I13" s="8">
        <v>0.3</v>
      </c>
      <c r="J13" s="8">
        <v>0.7</v>
      </c>
      <c r="K13" s="8">
        <v>0.9</v>
      </c>
      <c r="L13" s="8">
        <v>0.8</v>
      </c>
      <c r="M13" s="8">
        <v>0.8</v>
      </c>
      <c r="N13" s="1"/>
      <c r="O13" s="1"/>
      <c r="P13" s="1"/>
      <c r="Q13" s="1"/>
      <c r="R13" s="1"/>
      <c r="S13" s="1"/>
      <c r="T13" s="1"/>
      <c r="U13" s="1"/>
    </row>
    <row r="14" spans="1:21" ht="54.6" thickBot="1" x14ac:dyDescent="0.35">
      <c r="A14" s="7" t="s">
        <v>38</v>
      </c>
      <c r="B14" s="8" t="s">
        <v>34</v>
      </c>
      <c r="C14" s="8" t="s">
        <v>39</v>
      </c>
      <c r="D14" s="8">
        <v>0.8</v>
      </c>
      <c r="E14" s="8">
        <v>1</v>
      </c>
      <c r="F14" s="8">
        <v>1</v>
      </c>
      <c r="G14" s="8">
        <v>1</v>
      </c>
      <c r="H14" s="8">
        <v>0.2</v>
      </c>
      <c r="I14" s="8">
        <v>0.1</v>
      </c>
      <c r="J14" s="8">
        <v>0.7</v>
      </c>
      <c r="K14" s="8">
        <v>0.9</v>
      </c>
      <c r="L14" s="8">
        <v>0.5</v>
      </c>
      <c r="M14" s="8">
        <v>0.9</v>
      </c>
      <c r="N14" s="1"/>
      <c r="O14" s="1"/>
      <c r="P14" s="1"/>
      <c r="Q14" s="1"/>
      <c r="R14" s="1"/>
      <c r="S14" s="1"/>
      <c r="T14" s="1"/>
      <c r="U14" s="1"/>
    </row>
    <row r="15" spans="1:21" ht="54.6" thickBot="1" x14ac:dyDescent="0.35">
      <c r="A15" s="7" t="s">
        <v>40</v>
      </c>
      <c r="B15" s="8" t="s">
        <v>34</v>
      </c>
      <c r="C15" s="8" t="s">
        <v>41</v>
      </c>
      <c r="D15" s="8">
        <v>0.8</v>
      </c>
      <c r="E15" s="8">
        <v>0.9</v>
      </c>
      <c r="F15" s="8">
        <v>1</v>
      </c>
      <c r="G15" s="8">
        <v>0.9</v>
      </c>
      <c r="H15" s="8">
        <v>0.2</v>
      </c>
      <c r="I15" s="8">
        <v>0.2</v>
      </c>
      <c r="J15" s="8">
        <v>0.8</v>
      </c>
      <c r="K15" s="8">
        <v>1</v>
      </c>
      <c r="L15" s="8">
        <v>0.4</v>
      </c>
      <c r="M15" s="8">
        <v>1</v>
      </c>
      <c r="N15" s="1"/>
      <c r="O15" s="1"/>
      <c r="P15" s="1"/>
      <c r="Q15" s="1"/>
      <c r="R15" s="1"/>
      <c r="S15" s="1"/>
      <c r="T15" s="1"/>
      <c r="U15" s="1"/>
    </row>
    <row r="16" spans="1:21" ht="54.6" thickBot="1" x14ac:dyDescent="0.35">
      <c r="A16" s="7" t="s">
        <v>42</v>
      </c>
      <c r="B16" s="8" t="s">
        <v>34</v>
      </c>
      <c r="C16" s="8" t="s">
        <v>43</v>
      </c>
      <c r="D16" s="8">
        <v>0.9</v>
      </c>
      <c r="E16" s="8">
        <v>1</v>
      </c>
      <c r="F16" s="8">
        <v>1</v>
      </c>
      <c r="G16" s="8">
        <v>1</v>
      </c>
      <c r="H16" s="8">
        <v>0.1</v>
      </c>
      <c r="I16" s="8">
        <v>0.1</v>
      </c>
      <c r="J16" s="8">
        <v>0.1</v>
      </c>
      <c r="K16" s="8">
        <v>0.3</v>
      </c>
      <c r="L16" s="8">
        <v>0.2</v>
      </c>
      <c r="M16" s="8">
        <v>0.4</v>
      </c>
      <c r="N16" s="1"/>
      <c r="O16" s="1"/>
      <c r="P16" s="1"/>
      <c r="Q16" s="1"/>
      <c r="R16" s="1"/>
      <c r="S16" s="1"/>
      <c r="T16" s="1"/>
      <c r="U16" s="1"/>
    </row>
    <row r="17" spans="1:21" ht="72.599999999999994" thickBot="1" x14ac:dyDescent="0.35">
      <c r="A17" s="7" t="s">
        <v>44</v>
      </c>
      <c r="B17" s="8" t="s">
        <v>34</v>
      </c>
      <c r="C17" s="8" t="s">
        <v>45</v>
      </c>
      <c r="D17" s="8">
        <v>0.1</v>
      </c>
      <c r="E17" s="8">
        <v>0.1</v>
      </c>
      <c r="F17" s="8">
        <v>0.1</v>
      </c>
      <c r="G17" s="8">
        <v>1</v>
      </c>
      <c r="H17" s="8">
        <v>0.6</v>
      </c>
      <c r="I17" s="8">
        <v>0.1</v>
      </c>
      <c r="J17" s="8">
        <v>0.1</v>
      </c>
      <c r="K17" s="8">
        <v>0.1</v>
      </c>
      <c r="L17" s="8">
        <v>1</v>
      </c>
      <c r="M17" s="8">
        <v>0.1</v>
      </c>
      <c r="N17" s="1"/>
      <c r="O17" s="1"/>
      <c r="P17" s="1"/>
      <c r="Q17" s="1"/>
      <c r="R17" s="1"/>
      <c r="S17" s="1"/>
      <c r="T17" s="1"/>
      <c r="U17" s="1"/>
    </row>
    <row r="18" spans="1:21" ht="54.6" thickBot="1" x14ac:dyDescent="0.35">
      <c r="A18" s="7" t="s">
        <v>46</v>
      </c>
      <c r="B18" s="8" t="s">
        <v>34</v>
      </c>
      <c r="C18" s="8" t="s">
        <v>47</v>
      </c>
      <c r="D18" s="8">
        <v>0.1</v>
      </c>
      <c r="E18" s="8">
        <v>0.1</v>
      </c>
      <c r="F18" s="8">
        <v>0.6</v>
      </c>
      <c r="G18" s="8">
        <v>0.2</v>
      </c>
      <c r="H18" s="8">
        <v>0.5</v>
      </c>
      <c r="I18" s="8">
        <v>0.1</v>
      </c>
      <c r="J18" s="8">
        <v>1</v>
      </c>
      <c r="K18" s="8">
        <v>0.2</v>
      </c>
      <c r="L18" s="8">
        <v>0.1</v>
      </c>
      <c r="M18" s="8">
        <v>0.8</v>
      </c>
      <c r="N18" s="1"/>
      <c r="O18" s="1"/>
      <c r="P18" s="1"/>
      <c r="Q18" s="1"/>
      <c r="R18" s="1"/>
      <c r="S18" s="1"/>
      <c r="T18" s="1"/>
      <c r="U18" s="1"/>
    </row>
    <row r="19" spans="1:21" ht="54.6" thickBot="1" x14ac:dyDescent="0.35">
      <c r="A19" s="7" t="s">
        <v>48</v>
      </c>
      <c r="B19" s="8" t="s">
        <v>34</v>
      </c>
      <c r="C19" s="8" t="s">
        <v>49</v>
      </c>
      <c r="D19" s="8">
        <v>0.1</v>
      </c>
      <c r="E19" s="8">
        <v>1</v>
      </c>
      <c r="F19" s="8">
        <v>0.1</v>
      </c>
      <c r="G19" s="8">
        <v>0.1</v>
      </c>
      <c r="H19" s="8">
        <v>0.1</v>
      </c>
      <c r="I19" s="8">
        <v>0.1</v>
      </c>
      <c r="J19" s="8">
        <v>0.1</v>
      </c>
      <c r="K19" s="8">
        <v>0.4</v>
      </c>
      <c r="L19" s="8">
        <v>0.1</v>
      </c>
      <c r="M19" s="8">
        <v>0.1</v>
      </c>
      <c r="N19" s="1"/>
      <c r="O19" s="1"/>
      <c r="P19" s="1"/>
      <c r="Q19" s="1"/>
      <c r="R19" s="1"/>
      <c r="S19" s="1"/>
      <c r="T19" s="1"/>
      <c r="U19" s="1"/>
    </row>
    <row r="20" spans="1:21" ht="72.599999999999994" thickBot="1" x14ac:dyDescent="0.35">
      <c r="A20" s="7" t="s">
        <v>50</v>
      </c>
      <c r="B20" s="8" t="s">
        <v>51</v>
      </c>
      <c r="C20" s="8" t="s">
        <v>52</v>
      </c>
      <c r="D20" s="8">
        <v>0.9</v>
      </c>
      <c r="E20" s="8">
        <v>1</v>
      </c>
      <c r="F20" s="8">
        <v>0.9</v>
      </c>
      <c r="G20" s="8">
        <v>1</v>
      </c>
      <c r="H20" s="8">
        <v>0.3</v>
      </c>
      <c r="I20" s="8">
        <v>0.1</v>
      </c>
      <c r="J20" s="8">
        <v>0.4</v>
      </c>
      <c r="K20" s="8">
        <v>0.8</v>
      </c>
      <c r="L20" s="8">
        <v>0.5</v>
      </c>
      <c r="M20" s="8">
        <v>1</v>
      </c>
      <c r="N20" s="1"/>
      <c r="O20" s="1"/>
      <c r="P20" s="1"/>
      <c r="Q20" s="1"/>
      <c r="R20" s="1"/>
      <c r="S20" s="1"/>
      <c r="T20" s="1"/>
      <c r="U20" s="1"/>
    </row>
    <row r="21" spans="1:21" ht="72.599999999999994" thickBot="1" x14ac:dyDescent="0.35">
      <c r="A21" s="7" t="s">
        <v>53</v>
      </c>
      <c r="B21" s="8" t="s">
        <v>51</v>
      </c>
      <c r="C21" s="8" t="s">
        <v>54</v>
      </c>
      <c r="D21" s="8">
        <v>0.6</v>
      </c>
      <c r="E21" s="8">
        <v>1</v>
      </c>
      <c r="F21" s="8">
        <v>1</v>
      </c>
      <c r="G21" s="8">
        <v>0.8</v>
      </c>
      <c r="H21" s="8">
        <v>0.7</v>
      </c>
      <c r="I21" s="8">
        <v>0.2</v>
      </c>
      <c r="J21" s="8">
        <v>0.3</v>
      </c>
      <c r="K21" s="8">
        <v>0.5</v>
      </c>
      <c r="L21" s="8">
        <v>0.3</v>
      </c>
      <c r="M21" s="8">
        <v>0.6</v>
      </c>
      <c r="N21" s="1"/>
      <c r="O21" s="1"/>
      <c r="P21" s="1"/>
      <c r="Q21" s="1"/>
      <c r="R21" s="1"/>
      <c r="S21" s="1"/>
      <c r="T21" s="1"/>
      <c r="U21" s="1"/>
    </row>
    <row r="22" spans="1:21" ht="54.6" thickBot="1" x14ac:dyDescent="0.35">
      <c r="A22" s="7" t="s">
        <v>55</v>
      </c>
      <c r="B22" s="8" t="s">
        <v>51</v>
      </c>
      <c r="C22" s="8" t="s">
        <v>56</v>
      </c>
      <c r="D22" s="8">
        <v>1</v>
      </c>
      <c r="E22" s="8">
        <v>0.9</v>
      </c>
      <c r="F22" s="8">
        <v>1</v>
      </c>
      <c r="G22" s="8">
        <v>1</v>
      </c>
      <c r="H22" s="8">
        <v>0.6</v>
      </c>
      <c r="I22" s="8">
        <v>0.3</v>
      </c>
      <c r="J22" s="8">
        <v>0.8</v>
      </c>
      <c r="K22" s="8">
        <v>1</v>
      </c>
      <c r="L22" s="8">
        <v>0.7</v>
      </c>
      <c r="M22" s="8">
        <v>1</v>
      </c>
      <c r="N22" s="1"/>
      <c r="O22" s="1"/>
      <c r="P22" s="1"/>
      <c r="Q22" s="1"/>
      <c r="R22" s="1"/>
      <c r="S22" s="1"/>
      <c r="T22" s="1"/>
      <c r="U22" s="1"/>
    </row>
    <row r="23" spans="1:21" ht="54.6" thickBot="1" x14ac:dyDescent="0.35">
      <c r="A23" s="7" t="s">
        <v>57</v>
      </c>
      <c r="B23" s="8" t="s">
        <v>51</v>
      </c>
      <c r="C23" s="8" t="s">
        <v>58</v>
      </c>
      <c r="D23" s="8">
        <v>0.7</v>
      </c>
      <c r="E23" s="8">
        <v>1</v>
      </c>
      <c r="F23" s="8">
        <v>0.8</v>
      </c>
      <c r="G23" s="8">
        <v>0.9</v>
      </c>
      <c r="H23" s="8">
        <v>0.2</v>
      </c>
      <c r="I23" s="8">
        <v>0.1</v>
      </c>
      <c r="J23" s="8">
        <v>0.2</v>
      </c>
      <c r="K23" s="8">
        <v>0.6</v>
      </c>
      <c r="L23" s="8">
        <v>0.3</v>
      </c>
      <c r="M23" s="8">
        <v>1</v>
      </c>
      <c r="N23" s="1"/>
      <c r="O23" s="1"/>
      <c r="P23" s="1"/>
      <c r="Q23" s="1"/>
      <c r="R23" s="1"/>
      <c r="S23" s="1"/>
      <c r="T23" s="1"/>
      <c r="U23" s="1"/>
    </row>
    <row r="24" spans="1:21" ht="54.6" thickBot="1" x14ac:dyDescent="0.35">
      <c r="A24" s="7" t="s">
        <v>59</v>
      </c>
      <c r="B24" s="8" t="s">
        <v>51</v>
      </c>
      <c r="C24" s="8" t="s">
        <v>60</v>
      </c>
      <c r="D24" s="8">
        <v>0.5</v>
      </c>
      <c r="E24" s="8">
        <v>0.7</v>
      </c>
      <c r="F24" s="8">
        <v>0.6</v>
      </c>
      <c r="G24" s="8">
        <v>0.8</v>
      </c>
      <c r="H24" s="8">
        <v>0.6</v>
      </c>
      <c r="I24" s="8">
        <v>0.1</v>
      </c>
      <c r="J24" s="8">
        <v>0.3</v>
      </c>
      <c r="K24" s="8">
        <v>1</v>
      </c>
      <c r="L24" s="8">
        <v>0.4</v>
      </c>
      <c r="M24" s="8">
        <v>0.8</v>
      </c>
      <c r="N24" s="1"/>
      <c r="O24" s="1"/>
      <c r="P24" s="1"/>
      <c r="Q24" s="1"/>
      <c r="R24" s="1"/>
      <c r="S24" s="1"/>
      <c r="T24" s="1"/>
      <c r="U24" s="1"/>
    </row>
    <row r="25" spans="1:21" ht="54.6" thickBot="1" x14ac:dyDescent="0.35">
      <c r="A25" s="7" t="s">
        <v>61</v>
      </c>
      <c r="B25" s="8" t="s">
        <v>51</v>
      </c>
      <c r="C25" s="8" t="s">
        <v>62</v>
      </c>
      <c r="D25" s="8">
        <v>1</v>
      </c>
      <c r="E25" s="8">
        <v>0.7</v>
      </c>
      <c r="F25" s="8">
        <v>0.8</v>
      </c>
      <c r="G25" s="8">
        <v>1</v>
      </c>
      <c r="H25" s="8">
        <v>0.2</v>
      </c>
      <c r="I25" s="8">
        <v>0.1</v>
      </c>
      <c r="J25" s="8">
        <v>0.3</v>
      </c>
      <c r="K25" s="8">
        <v>0.9</v>
      </c>
      <c r="L25" s="8">
        <v>0.4</v>
      </c>
      <c r="M25" s="8">
        <v>0.9</v>
      </c>
      <c r="N25" s="1"/>
      <c r="O25" s="1"/>
      <c r="P25" s="1"/>
      <c r="Q25" s="1"/>
      <c r="R25" s="1"/>
      <c r="S25" s="1"/>
      <c r="T25" s="1"/>
      <c r="U25" s="1"/>
    </row>
    <row r="26" spans="1:21" ht="54.6" thickBot="1" x14ac:dyDescent="0.35">
      <c r="A26" s="7" t="s">
        <v>63</v>
      </c>
      <c r="B26" s="8" t="s">
        <v>51</v>
      </c>
      <c r="C26" s="8" t="s">
        <v>64</v>
      </c>
      <c r="D26" s="8">
        <v>0.6</v>
      </c>
      <c r="E26" s="8">
        <v>0.9</v>
      </c>
      <c r="F26" s="8">
        <v>0.8</v>
      </c>
      <c r="G26" s="8">
        <v>1</v>
      </c>
      <c r="H26" s="8">
        <v>0.4</v>
      </c>
      <c r="I26" s="8">
        <v>0.1</v>
      </c>
      <c r="J26" s="8">
        <v>0.8</v>
      </c>
      <c r="K26" s="8">
        <v>1</v>
      </c>
      <c r="L26" s="8">
        <v>0.5</v>
      </c>
      <c r="M26" s="8">
        <v>0.9</v>
      </c>
      <c r="N26" s="1"/>
      <c r="O26" s="1"/>
      <c r="P26" s="1"/>
      <c r="Q26" s="1"/>
      <c r="R26" s="1"/>
      <c r="S26" s="1"/>
      <c r="T26" s="1"/>
      <c r="U26" s="1"/>
    </row>
    <row r="27" spans="1:21" ht="72.599999999999994" thickBot="1" x14ac:dyDescent="0.35">
      <c r="A27" s="7" t="s">
        <v>65</v>
      </c>
      <c r="B27" s="8" t="s">
        <v>51</v>
      </c>
      <c r="C27" s="8" t="s">
        <v>66</v>
      </c>
      <c r="D27" s="8">
        <v>0.8</v>
      </c>
      <c r="E27" s="8">
        <v>1</v>
      </c>
      <c r="F27" s="8">
        <v>0.8</v>
      </c>
      <c r="G27" s="8">
        <v>0.8</v>
      </c>
      <c r="H27" s="8">
        <v>0.2</v>
      </c>
      <c r="I27" s="8">
        <v>0.1</v>
      </c>
      <c r="J27" s="8">
        <v>0.4</v>
      </c>
      <c r="K27" s="8">
        <v>0.9</v>
      </c>
      <c r="L27" s="8">
        <v>0.3</v>
      </c>
      <c r="M27" s="8">
        <v>1</v>
      </c>
      <c r="N27" s="1"/>
      <c r="O27" s="1"/>
      <c r="P27" s="1"/>
      <c r="Q27" s="1"/>
      <c r="R27" s="1"/>
      <c r="S27" s="1"/>
      <c r="T27" s="1"/>
      <c r="U27" s="1"/>
    </row>
    <row r="28" spans="1:21" ht="54.6" thickBot="1" x14ac:dyDescent="0.35">
      <c r="A28" s="7" t="s">
        <v>67</v>
      </c>
      <c r="B28" s="8" t="s">
        <v>68</v>
      </c>
      <c r="C28" s="8" t="s">
        <v>69</v>
      </c>
      <c r="D28" s="8">
        <v>1</v>
      </c>
      <c r="E28" s="8">
        <v>0.8</v>
      </c>
      <c r="F28" s="8">
        <v>1</v>
      </c>
      <c r="G28" s="8">
        <v>1</v>
      </c>
      <c r="H28" s="8">
        <v>0.2</v>
      </c>
      <c r="I28" s="8">
        <v>0.4</v>
      </c>
      <c r="J28" s="8">
        <v>0.5</v>
      </c>
      <c r="K28" s="8">
        <v>0.8</v>
      </c>
      <c r="L28" s="8">
        <v>0.7</v>
      </c>
      <c r="M28" s="8">
        <v>0.9</v>
      </c>
      <c r="N28" s="1"/>
      <c r="O28" s="1"/>
      <c r="P28" s="1"/>
      <c r="Q28" s="1"/>
      <c r="R28" s="1"/>
      <c r="S28" s="1"/>
      <c r="T28" s="1"/>
      <c r="U28" s="1"/>
    </row>
    <row r="29" spans="1:21" ht="72.599999999999994" thickBot="1" x14ac:dyDescent="0.35">
      <c r="A29" s="7" t="s">
        <v>70</v>
      </c>
      <c r="B29" s="8" t="s">
        <v>68</v>
      </c>
      <c r="C29" s="8" t="s">
        <v>71</v>
      </c>
      <c r="D29" s="8">
        <v>0.1</v>
      </c>
      <c r="E29" s="8">
        <v>0.1</v>
      </c>
      <c r="F29" s="8">
        <v>1</v>
      </c>
      <c r="G29" s="8">
        <v>0.5</v>
      </c>
      <c r="H29" s="8">
        <v>0.1</v>
      </c>
      <c r="I29" s="8">
        <v>1</v>
      </c>
      <c r="J29" s="8">
        <v>0.2</v>
      </c>
      <c r="K29" s="8">
        <v>0.1</v>
      </c>
      <c r="L29" s="8">
        <v>0.1</v>
      </c>
      <c r="M29" s="8">
        <v>0.1</v>
      </c>
      <c r="N29" s="1"/>
      <c r="O29" s="1"/>
      <c r="P29" s="1"/>
      <c r="Q29" s="1"/>
      <c r="R29" s="1"/>
      <c r="S29" s="1"/>
      <c r="T29" s="1"/>
      <c r="U29" s="1"/>
    </row>
    <row r="30" spans="1:21" ht="54.6" thickBot="1" x14ac:dyDescent="0.35">
      <c r="A30" s="7" t="s">
        <v>72</v>
      </c>
      <c r="B30" s="8" t="s">
        <v>68</v>
      </c>
      <c r="C30" s="8" t="s">
        <v>73</v>
      </c>
      <c r="D30" s="8">
        <v>0.9</v>
      </c>
      <c r="E30" s="8">
        <v>0.8</v>
      </c>
      <c r="F30" s="8">
        <v>0.8</v>
      </c>
      <c r="G30" s="8">
        <v>1</v>
      </c>
      <c r="H30" s="8">
        <v>0.7</v>
      </c>
      <c r="I30" s="8">
        <v>1</v>
      </c>
      <c r="J30" s="8">
        <v>0.6</v>
      </c>
      <c r="K30" s="8">
        <v>0.5</v>
      </c>
      <c r="L30" s="8">
        <v>0.9</v>
      </c>
      <c r="M30" s="8">
        <v>0.6</v>
      </c>
      <c r="N30" s="1"/>
      <c r="O30" s="1"/>
      <c r="P30" s="1"/>
      <c r="Q30" s="1"/>
      <c r="R30" s="1"/>
      <c r="S30" s="1"/>
      <c r="T30" s="1"/>
      <c r="U30" s="1"/>
    </row>
    <row r="31" spans="1:21" ht="54.6" thickBot="1" x14ac:dyDescent="0.35">
      <c r="A31" s="7" t="s">
        <v>74</v>
      </c>
      <c r="B31" s="8" t="s">
        <v>68</v>
      </c>
      <c r="C31" s="8" t="s">
        <v>75</v>
      </c>
      <c r="D31" s="8">
        <v>0.8</v>
      </c>
      <c r="E31" s="8">
        <v>0.7</v>
      </c>
      <c r="F31" s="8">
        <v>0.7</v>
      </c>
      <c r="G31" s="8">
        <v>0.9</v>
      </c>
      <c r="H31" s="8">
        <v>0.5</v>
      </c>
      <c r="I31" s="8">
        <v>0.6</v>
      </c>
      <c r="J31" s="8">
        <v>0.4</v>
      </c>
      <c r="K31" s="8">
        <v>0.4</v>
      </c>
      <c r="L31" s="8">
        <v>1</v>
      </c>
      <c r="M31" s="8">
        <v>0.4</v>
      </c>
      <c r="N31" s="1"/>
      <c r="O31" s="1"/>
      <c r="P31" s="1"/>
      <c r="Q31" s="1"/>
      <c r="R31" s="1"/>
      <c r="S31" s="1"/>
      <c r="T31" s="1"/>
      <c r="U31" s="1"/>
    </row>
    <row r="32" spans="1:21" ht="54.6" thickBot="1" x14ac:dyDescent="0.35">
      <c r="A32" s="7" t="s">
        <v>76</v>
      </c>
      <c r="B32" s="8" t="s">
        <v>68</v>
      </c>
      <c r="C32" s="8" t="s">
        <v>77</v>
      </c>
      <c r="D32" s="8">
        <v>1</v>
      </c>
      <c r="E32" s="8">
        <v>0.8</v>
      </c>
      <c r="F32" s="8">
        <v>1</v>
      </c>
      <c r="G32" s="8">
        <v>1</v>
      </c>
      <c r="H32" s="8">
        <v>0.3</v>
      </c>
      <c r="I32" s="8">
        <v>0.5</v>
      </c>
      <c r="J32" s="8">
        <v>0.6</v>
      </c>
      <c r="K32" s="8">
        <v>0.8</v>
      </c>
      <c r="L32" s="8">
        <v>0.8</v>
      </c>
      <c r="M32" s="8">
        <v>0.9</v>
      </c>
      <c r="N32" s="1"/>
      <c r="O32" s="1"/>
      <c r="P32" s="1"/>
      <c r="Q32" s="1"/>
      <c r="R32" s="1"/>
      <c r="S32" s="1"/>
      <c r="T32" s="1"/>
      <c r="U32" s="1"/>
    </row>
    <row r="33" spans="1:21" ht="72.599999999999994" thickBot="1" x14ac:dyDescent="0.35">
      <c r="A33" s="7" t="s">
        <v>78</v>
      </c>
      <c r="B33" s="8" t="s">
        <v>68</v>
      </c>
      <c r="C33" s="8" t="s">
        <v>79</v>
      </c>
      <c r="D33" s="8">
        <v>0.9</v>
      </c>
      <c r="E33" s="8">
        <v>0.9</v>
      </c>
      <c r="F33" s="8">
        <v>1</v>
      </c>
      <c r="G33" s="8">
        <v>1</v>
      </c>
      <c r="H33" s="8">
        <v>0.4</v>
      </c>
      <c r="I33" s="8">
        <v>1</v>
      </c>
      <c r="J33" s="8">
        <v>0.6</v>
      </c>
      <c r="K33" s="8">
        <v>0.4</v>
      </c>
      <c r="L33" s="8">
        <v>0.6</v>
      </c>
      <c r="M33" s="8">
        <v>0.8</v>
      </c>
      <c r="N33" s="1"/>
      <c r="O33" s="1"/>
      <c r="P33" s="1"/>
      <c r="Q33" s="1"/>
      <c r="R33" s="1"/>
      <c r="S33" s="1"/>
      <c r="T33" s="1"/>
      <c r="U33" s="1"/>
    </row>
    <row r="34" spans="1:21" ht="54.6" thickBot="1" x14ac:dyDescent="0.35">
      <c r="A34" s="7" t="s">
        <v>80</v>
      </c>
      <c r="B34" s="8" t="s">
        <v>68</v>
      </c>
      <c r="C34" s="8" t="s">
        <v>81</v>
      </c>
      <c r="D34" s="8">
        <v>0.6</v>
      </c>
      <c r="E34" s="8">
        <v>0.6</v>
      </c>
      <c r="F34" s="8">
        <v>0.6</v>
      </c>
      <c r="G34" s="8">
        <v>0.6</v>
      </c>
      <c r="H34" s="8">
        <v>0.8</v>
      </c>
      <c r="I34" s="8">
        <v>1</v>
      </c>
      <c r="J34" s="8">
        <v>0.5</v>
      </c>
      <c r="K34" s="8">
        <v>0.5</v>
      </c>
      <c r="L34" s="8">
        <v>0.7</v>
      </c>
      <c r="M34" s="8">
        <v>0.6</v>
      </c>
      <c r="N34" s="1"/>
      <c r="O34" s="1"/>
      <c r="P34" s="1"/>
      <c r="Q34" s="1"/>
      <c r="R34" s="1"/>
      <c r="S34" s="1"/>
      <c r="T34" s="1"/>
      <c r="U34" s="1"/>
    </row>
    <row r="35" spans="1:21" ht="54.6" thickBot="1" x14ac:dyDescent="0.35">
      <c r="A35" s="7" t="s">
        <v>82</v>
      </c>
      <c r="B35" s="8" t="s">
        <v>68</v>
      </c>
      <c r="C35" s="8" t="s">
        <v>83</v>
      </c>
      <c r="D35" s="8">
        <v>1</v>
      </c>
      <c r="E35" s="8">
        <v>1</v>
      </c>
      <c r="F35" s="8">
        <v>0.9</v>
      </c>
      <c r="G35" s="8">
        <v>1</v>
      </c>
      <c r="H35" s="8">
        <v>0.5</v>
      </c>
      <c r="I35" s="8">
        <v>0.1</v>
      </c>
      <c r="J35" s="8">
        <v>0.7</v>
      </c>
      <c r="K35" s="8">
        <v>0.8</v>
      </c>
      <c r="L35" s="8">
        <v>0.6</v>
      </c>
      <c r="M35" s="8">
        <v>0.9</v>
      </c>
      <c r="N35" s="1"/>
      <c r="O35" s="1"/>
      <c r="P35" s="1"/>
      <c r="Q35" s="1"/>
      <c r="R35" s="1"/>
      <c r="S35" s="1"/>
      <c r="T35" s="1"/>
      <c r="U35" s="1"/>
    </row>
    <row r="36" spans="1:21" ht="72.599999999999994" thickBot="1" x14ac:dyDescent="0.35">
      <c r="A36" s="7" t="s">
        <v>84</v>
      </c>
      <c r="B36" s="8" t="s">
        <v>85</v>
      </c>
      <c r="C36" s="8" t="s">
        <v>86</v>
      </c>
      <c r="D36" s="8">
        <v>0.1</v>
      </c>
      <c r="E36" s="8">
        <v>0.1</v>
      </c>
      <c r="F36" s="8">
        <v>0.1</v>
      </c>
      <c r="G36" s="8">
        <v>0.1</v>
      </c>
      <c r="H36" s="8">
        <v>0.1</v>
      </c>
      <c r="I36" s="8">
        <v>0.1</v>
      </c>
      <c r="J36" s="8">
        <v>1</v>
      </c>
      <c r="K36" s="8">
        <v>0.1</v>
      </c>
      <c r="L36" s="8">
        <v>0.1</v>
      </c>
      <c r="M36" s="8">
        <v>0.1</v>
      </c>
      <c r="N36" s="1"/>
      <c r="O36" s="1"/>
      <c r="P36" s="1"/>
      <c r="Q36" s="1"/>
      <c r="R36" s="1"/>
      <c r="S36" s="1"/>
      <c r="T36" s="1"/>
      <c r="U36" s="1"/>
    </row>
    <row r="37" spans="1:21" ht="72.599999999999994" thickBot="1" x14ac:dyDescent="0.35">
      <c r="A37" s="7" t="s">
        <v>87</v>
      </c>
      <c r="B37" s="8" t="s">
        <v>85</v>
      </c>
      <c r="C37" s="8" t="s">
        <v>88</v>
      </c>
      <c r="D37" s="8">
        <v>0.1</v>
      </c>
      <c r="E37" s="8">
        <v>0.1</v>
      </c>
      <c r="F37" s="8">
        <v>0.1</v>
      </c>
      <c r="G37" s="8">
        <v>0.1</v>
      </c>
      <c r="H37" s="8">
        <v>0.1</v>
      </c>
      <c r="I37" s="8">
        <v>0.1</v>
      </c>
      <c r="J37" s="8">
        <v>0.1</v>
      </c>
      <c r="K37" s="8">
        <v>1</v>
      </c>
      <c r="L37" s="8">
        <v>0.1</v>
      </c>
      <c r="M37" s="8">
        <v>0.1</v>
      </c>
      <c r="N37" s="1"/>
      <c r="O37" s="1"/>
      <c r="P37" s="1"/>
      <c r="Q37" s="1"/>
      <c r="R37" s="1"/>
      <c r="S37" s="1"/>
      <c r="T37" s="1"/>
      <c r="U37" s="1"/>
    </row>
    <row r="38" spans="1:21" ht="72.599999999999994" thickBot="1" x14ac:dyDescent="0.35">
      <c r="A38" s="7" t="s">
        <v>89</v>
      </c>
      <c r="B38" s="8" t="s">
        <v>85</v>
      </c>
      <c r="C38" s="8" t="s">
        <v>90</v>
      </c>
      <c r="D38" s="8">
        <v>0.1</v>
      </c>
      <c r="E38" s="8">
        <v>0.1</v>
      </c>
      <c r="F38" s="8">
        <v>0.1</v>
      </c>
      <c r="G38" s="8">
        <v>0.1</v>
      </c>
      <c r="H38" s="8">
        <v>0.4</v>
      </c>
      <c r="I38" s="8">
        <v>0.3</v>
      </c>
      <c r="J38" s="8">
        <v>1</v>
      </c>
      <c r="K38" s="8">
        <v>1</v>
      </c>
      <c r="L38" s="8">
        <v>0.1</v>
      </c>
      <c r="M38" s="8">
        <v>0.7</v>
      </c>
      <c r="N38" s="1"/>
      <c r="O38" s="1"/>
      <c r="P38" s="1"/>
      <c r="Q38" s="1"/>
      <c r="R38" s="1"/>
      <c r="S38" s="1"/>
      <c r="T38" s="1"/>
      <c r="U38" s="1"/>
    </row>
    <row r="39" spans="1:21" ht="54.6" thickBot="1" x14ac:dyDescent="0.35">
      <c r="A39" s="7" t="s">
        <v>91</v>
      </c>
      <c r="B39" s="8" t="s">
        <v>85</v>
      </c>
      <c r="C39" s="8" t="s">
        <v>92</v>
      </c>
      <c r="D39" s="8">
        <v>0.1</v>
      </c>
      <c r="E39" s="8">
        <v>0.2</v>
      </c>
      <c r="F39" s="8">
        <v>0.2</v>
      </c>
      <c r="G39" s="8">
        <v>0.3</v>
      </c>
      <c r="H39" s="8">
        <v>0.1</v>
      </c>
      <c r="I39" s="8">
        <v>0.1</v>
      </c>
      <c r="J39" s="8">
        <v>1</v>
      </c>
      <c r="K39" s="8">
        <v>1</v>
      </c>
      <c r="L39" s="8">
        <v>0.1</v>
      </c>
      <c r="M39" s="8">
        <v>0.4</v>
      </c>
      <c r="N39" s="1"/>
      <c r="O39" s="1"/>
      <c r="P39" s="1"/>
      <c r="Q39" s="1"/>
      <c r="R39" s="1"/>
      <c r="S39" s="1"/>
      <c r="T39" s="1"/>
      <c r="U39" s="1"/>
    </row>
    <row r="40" spans="1:21" ht="54.6" thickBot="1" x14ac:dyDescent="0.35">
      <c r="A40" s="7" t="s">
        <v>93</v>
      </c>
      <c r="B40" s="8" t="s">
        <v>85</v>
      </c>
      <c r="C40" s="8" t="s">
        <v>94</v>
      </c>
      <c r="D40" s="8">
        <v>1</v>
      </c>
      <c r="E40" s="8">
        <v>0.6</v>
      </c>
      <c r="F40" s="8">
        <v>0.3</v>
      </c>
      <c r="G40" s="8">
        <v>0.6</v>
      </c>
      <c r="H40" s="8">
        <v>0.8</v>
      </c>
      <c r="I40" s="8">
        <v>0.1</v>
      </c>
      <c r="J40" s="8">
        <v>0.3</v>
      </c>
      <c r="K40" s="8">
        <v>0.5</v>
      </c>
      <c r="L40" s="8">
        <v>1</v>
      </c>
      <c r="M40" s="8">
        <v>0.4</v>
      </c>
      <c r="N40" s="1"/>
      <c r="O40" s="1"/>
      <c r="P40" s="1"/>
      <c r="Q40" s="1"/>
      <c r="R40" s="1"/>
      <c r="S40" s="1"/>
      <c r="T40" s="1"/>
      <c r="U40" s="1"/>
    </row>
    <row r="41" spans="1:21" ht="72.599999999999994" thickBot="1" x14ac:dyDescent="0.35">
      <c r="A41" s="7" t="s">
        <v>95</v>
      </c>
      <c r="B41" s="8" t="s">
        <v>85</v>
      </c>
      <c r="C41" s="8" t="s">
        <v>96</v>
      </c>
      <c r="D41" s="8">
        <v>0.1</v>
      </c>
      <c r="E41" s="8">
        <v>0.9</v>
      </c>
      <c r="F41" s="8">
        <v>1</v>
      </c>
      <c r="G41" s="8">
        <v>0.9</v>
      </c>
      <c r="H41" s="8">
        <v>0.3</v>
      </c>
      <c r="I41" s="8">
        <v>0.2</v>
      </c>
      <c r="J41" s="8">
        <v>0.5</v>
      </c>
      <c r="K41" s="8">
        <v>0.8</v>
      </c>
      <c r="L41" s="8">
        <v>0.1</v>
      </c>
      <c r="M41" s="8">
        <v>1</v>
      </c>
      <c r="N41" s="1"/>
      <c r="O41" s="1"/>
      <c r="P41" s="1"/>
      <c r="Q41" s="1"/>
      <c r="R41" s="1"/>
      <c r="S41" s="1"/>
      <c r="T41" s="1"/>
      <c r="U41" s="1"/>
    </row>
    <row r="42" spans="1:21" ht="72.599999999999994" thickBot="1" x14ac:dyDescent="0.35">
      <c r="A42" s="7" t="s">
        <v>97</v>
      </c>
      <c r="B42" s="8" t="s">
        <v>85</v>
      </c>
      <c r="C42" s="8" t="s">
        <v>98</v>
      </c>
      <c r="D42" s="8">
        <v>0.1</v>
      </c>
      <c r="E42" s="8">
        <v>0.1</v>
      </c>
      <c r="F42" s="8">
        <v>0.1</v>
      </c>
      <c r="G42" s="8">
        <v>0.1</v>
      </c>
      <c r="H42" s="8">
        <v>0.1</v>
      </c>
      <c r="I42" s="8">
        <v>0.1</v>
      </c>
      <c r="J42" s="8">
        <v>0.1</v>
      </c>
      <c r="K42" s="8">
        <v>0.1</v>
      </c>
      <c r="L42" s="8">
        <v>0.1</v>
      </c>
      <c r="M42" s="8">
        <v>1</v>
      </c>
      <c r="N42" s="1"/>
      <c r="O42" s="1"/>
      <c r="P42" s="1"/>
      <c r="Q42" s="1"/>
      <c r="R42" s="1"/>
      <c r="S42" s="1"/>
      <c r="T42" s="1"/>
      <c r="U42" s="1"/>
    </row>
    <row r="43" spans="1:21" ht="54.6" thickBot="1" x14ac:dyDescent="0.35">
      <c r="A43" s="7" t="s">
        <v>99</v>
      </c>
      <c r="B43" s="8" t="s">
        <v>100</v>
      </c>
      <c r="C43" s="8" t="s">
        <v>101</v>
      </c>
      <c r="D43" s="8">
        <v>1</v>
      </c>
      <c r="E43" s="8">
        <v>0.9</v>
      </c>
      <c r="F43" s="8">
        <v>0.7</v>
      </c>
      <c r="G43" s="8">
        <v>0.8</v>
      </c>
      <c r="H43" s="8">
        <v>1</v>
      </c>
      <c r="I43" s="8">
        <v>0.4</v>
      </c>
      <c r="J43" s="8">
        <v>0.5</v>
      </c>
      <c r="K43" s="8">
        <v>0.6</v>
      </c>
      <c r="L43" s="8">
        <v>0.7</v>
      </c>
      <c r="M43" s="8">
        <v>0.5</v>
      </c>
      <c r="N43" s="1"/>
      <c r="O43" s="1"/>
      <c r="P43" s="1"/>
      <c r="Q43" s="1"/>
      <c r="R43" s="1"/>
      <c r="S43" s="1"/>
      <c r="T43" s="1"/>
      <c r="U43" s="1"/>
    </row>
    <row r="44" spans="1:21" ht="72.599999999999994" thickBot="1" x14ac:dyDescent="0.35">
      <c r="A44" s="7" t="s">
        <v>102</v>
      </c>
      <c r="B44" s="8" t="s">
        <v>100</v>
      </c>
      <c r="C44" s="8" t="s">
        <v>103</v>
      </c>
      <c r="D44" s="8">
        <v>1</v>
      </c>
      <c r="E44" s="8">
        <v>1</v>
      </c>
      <c r="F44" s="8">
        <v>1</v>
      </c>
      <c r="G44" s="8">
        <v>1</v>
      </c>
      <c r="H44" s="8">
        <v>1</v>
      </c>
      <c r="I44" s="8">
        <v>0.7</v>
      </c>
      <c r="J44" s="8">
        <v>0.8</v>
      </c>
      <c r="K44" s="8">
        <v>0.9</v>
      </c>
      <c r="L44" s="8">
        <v>0.6</v>
      </c>
      <c r="M44" s="8">
        <v>0.9</v>
      </c>
      <c r="N44" s="1"/>
      <c r="O44" s="1"/>
      <c r="P44" s="1"/>
      <c r="Q44" s="1"/>
      <c r="R44" s="1"/>
      <c r="S44" s="1"/>
      <c r="T44" s="1"/>
      <c r="U44" s="1"/>
    </row>
    <row r="45" spans="1:21" ht="72.599999999999994" thickBot="1" x14ac:dyDescent="0.35">
      <c r="A45" s="7" t="s">
        <v>104</v>
      </c>
      <c r="B45" s="8" t="s">
        <v>100</v>
      </c>
      <c r="C45" s="8" t="s">
        <v>105</v>
      </c>
      <c r="D45" s="8">
        <v>0.1</v>
      </c>
      <c r="E45" s="8">
        <v>0.1</v>
      </c>
      <c r="F45" s="8">
        <v>0.1</v>
      </c>
      <c r="G45" s="8">
        <v>0.1</v>
      </c>
      <c r="H45" s="8">
        <v>0.9</v>
      </c>
      <c r="I45" s="8">
        <v>1</v>
      </c>
      <c r="J45" s="8">
        <v>0.4</v>
      </c>
      <c r="K45" s="8">
        <v>0.1</v>
      </c>
      <c r="L45" s="8">
        <v>0.2</v>
      </c>
      <c r="M45" s="8">
        <v>0.1</v>
      </c>
      <c r="N45" s="1"/>
      <c r="O45" s="1"/>
      <c r="P45" s="1"/>
      <c r="Q45" s="1"/>
      <c r="R45" s="1"/>
      <c r="S45" s="1"/>
      <c r="T45" s="1"/>
      <c r="U45" s="1"/>
    </row>
    <row r="46" spans="1:21" ht="54.6" thickBot="1" x14ac:dyDescent="0.35">
      <c r="A46" s="7" t="s">
        <v>106</v>
      </c>
      <c r="B46" s="8" t="s">
        <v>100</v>
      </c>
      <c r="C46" s="8" t="s">
        <v>107</v>
      </c>
      <c r="D46" s="8">
        <v>1</v>
      </c>
      <c r="E46" s="8">
        <v>0.7</v>
      </c>
      <c r="F46" s="8">
        <v>0.6</v>
      </c>
      <c r="G46" s="8">
        <v>1</v>
      </c>
      <c r="H46" s="8">
        <v>0.1</v>
      </c>
      <c r="I46" s="8">
        <v>0.1</v>
      </c>
      <c r="J46" s="8">
        <v>0.1</v>
      </c>
      <c r="K46" s="8">
        <v>0.9</v>
      </c>
      <c r="L46" s="8">
        <v>0.3</v>
      </c>
      <c r="M46" s="8">
        <v>0.9</v>
      </c>
      <c r="N46" s="1"/>
      <c r="O46" s="1"/>
      <c r="P46" s="1"/>
      <c r="Q46" s="1"/>
      <c r="R46" s="1"/>
      <c r="S46" s="1"/>
      <c r="T46" s="1"/>
      <c r="U46" s="1"/>
    </row>
    <row r="47" spans="1:21" ht="54.6" thickBot="1" x14ac:dyDescent="0.35">
      <c r="A47" s="7" t="s">
        <v>108</v>
      </c>
      <c r="B47" s="8" t="s">
        <v>100</v>
      </c>
      <c r="C47" s="8" t="s">
        <v>109</v>
      </c>
      <c r="D47" s="8">
        <v>0.1</v>
      </c>
      <c r="E47" s="8">
        <v>0.2</v>
      </c>
      <c r="F47" s="8">
        <v>0.1</v>
      </c>
      <c r="G47" s="8">
        <v>0.3</v>
      </c>
      <c r="H47" s="8">
        <v>1</v>
      </c>
      <c r="I47" s="8">
        <v>0.8</v>
      </c>
      <c r="J47" s="8">
        <v>0.1</v>
      </c>
      <c r="K47" s="8">
        <v>0.1</v>
      </c>
      <c r="L47" s="8">
        <v>0.1</v>
      </c>
      <c r="M47" s="8">
        <v>0.1</v>
      </c>
      <c r="N47" s="1"/>
      <c r="O47" s="1"/>
      <c r="P47" s="1"/>
      <c r="Q47" s="1"/>
      <c r="R47" s="1"/>
      <c r="S47" s="1"/>
      <c r="T47" s="1"/>
      <c r="U47" s="1"/>
    </row>
    <row r="48" spans="1:21" ht="72.599999999999994" thickBot="1" x14ac:dyDescent="0.35">
      <c r="A48" s="7" t="s">
        <v>110</v>
      </c>
      <c r="B48" s="8" t="s">
        <v>100</v>
      </c>
      <c r="C48" s="8" t="s">
        <v>111</v>
      </c>
      <c r="D48" s="8">
        <v>0.4</v>
      </c>
      <c r="E48" s="8">
        <v>1</v>
      </c>
      <c r="F48" s="8">
        <v>0.8</v>
      </c>
      <c r="G48" s="8">
        <v>0.7</v>
      </c>
      <c r="H48" s="8">
        <v>0.3</v>
      </c>
      <c r="I48" s="8">
        <v>0.1</v>
      </c>
      <c r="J48" s="8">
        <v>0.2</v>
      </c>
      <c r="K48" s="8">
        <v>0.5</v>
      </c>
      <c r="L48" s="8">
        <v>0.1</v>
      </c>
      <c r="M48" s="8">
        <v>0.6</v>
      </c>
      <c r="N48" s="1"/>
      <c r="O48" s="1"/>
      <c r="P48" s="1"/>
      <c r="Q48" s="1"/>
      <c r="R48" s="1"/>
      <c r="S48" s="1"/>
      <c r="T48" s="1"/>
      <c r="U48" s="1"/>
    </row>
    <row r="49" spans="1:21" ht="72.599999999999994" thickBot="1" x14ac:dyDescent="0.35">
      <c r="A49" s="7" t="s">
        <v>112</v>
      </c>
      <c r="B49" s="8" t="s">
        <v>100</v>
      </c>
      <c r="C49" s="8" t="s">
        <v>113</v>
      </c>
      <c r="D49" s="8">
        <v>0.1</v>
      </c>
      <c r="E49" s="8">
        <v>0.2</v>
      </c>
      <c r="F49" s="8">
        <v>0.2</v>
      </c>
      <c r="G49" s="8">
        <v>0.2</v>
      </c>
      <c r="H49" s="8">
        <v>1</v>
      </c>
      <c r="I49" s="8">
        <v>1</v>
      </c>
      <c r="J49" s="8">
        <v>0.4</v>
      </c>
      <c r="K49" s="8">
        <v>0.2</v>
      </c>
      <c r="L49" s="8">
        <v>0.3</v>
      </c>
      <c r="M49" s="8">
        <v>0.1</v>
      </c>
      <c r="N49" s="1"/>
      <c r="O49" s="1"/>
      <c r="P49" s="1"/>
      <c r="Q49" s="1"/>
      <c r="R49" s="1"/>
      <c r="S49" s="1"/>
      <c r="T49" s="1"/>
      <c r="U49" s="1"/>
    </row>
    <row r="50" spans="1:21" ht="54.6" thickBot="1" x14ac:dyDescent="0.35">
      <c r="A50" s="7" t="s">
        <v>114</v>
      </c>
      <c r="B50" s="8" t="s">
        <v>100</v>
      </c>
      <c r="C50" s="8" t="s">
        <v>115</v>
      </c>
      <c r="D50" s="8">
        <v>1</v>
      </c>
      <c r="E50" s="8">
        <v>0.8</v>
      </c>
      <c r="F50" s="8">
        <v>1</v>
      </c>
      <c r="G50" s="8">
        <v>0.9</v>
      </c>
      <c r="H50" s="8">
        <v>0.1</v>
      </c>
      <c r="I50" s="8">
        <v>0.1</v>
      </c>
      <c r="J50" s="8">
        <v>0.8</v>
      </c>
      <c r="K50" s="8">
        <v>1</v>
      </c>
      <c r="L50" s="8">
        <v>0.5</v>
      </c>
      <c r="M50" s="8">
        <v>1</v>
      </c>
      <c r="N50" s="1"/>
      <c r="O50" s="1"/>
      <c r="P50" s="1"/>
      <c r="Q50" s="1"/>
      <c r="R50" s="1"/>
      <c r="S50" s="1"/>
      <c r="T50" s="1"/>
      <c r="U50" s="1"/>
    </row>
    <row r="51" spans="1:21" ht="54" x14ac:dyDescent="0.35">
      <c r="A51" s="9" t="s">
        <v>116</v>
      </c>
      <c r="B51" s="10" t="s">
        <v>100</v>
      </c>
      <c r="C51" s="10" t="s">
        <v>117</v>
      </c>
      <c r="D51" s="10">
        <v>0.8</v>
      </c>
      <c r="E51" s="10">
        <v>1</v>
      </c>
      <c r="F51" s="10">
        <v>0.9</v>
      </c>
      <c r="G51" s="10">
        <v>0.9</v>
      </c>
      <c r="H51" s="10">
        <v>0.5</v>
      </c>
      <c r="I51" s="10">
        <v>0.2</v>
      </c>
      <c r="J51" s="10">
        <v>0.4</v>
      </c>
      <c r="K51" s="10">
        <v>0.7</v>
      </c>
      <c r="L51" s="11">
        <v>0.6</v>
      </c>
      <c r="M51" s="10">
        <v>0.8</v>
      </c>
      <c r="N51" s="1"/>
      <c r="O51" s="1"/>
      <c r="P51" s="1"/>
      <c r="Q51" s="1"/>
      <c r="R51" s="1"/>
      <c r="S51" s="1"/>
      <c r="T51" s="1"/>
      <c r="U51" s="1"/>
    </row>
    <row r="52" spans="1:21" ht="72.599999999999994" thickBot="1" x14ac:dyDescent="0.35">
      <c r="A52" s="7" t="s">
        <v>126</v>
      </c>
      <c r="B52" s="8" t="s">
        <v>14</v>
      </c>
      <c r="C52" s="8" t="s">
        <v>127</v>
      </c>
      <c r="D52" s="8">
        <v>1</v>
      </c>
      <c r="E52" s="8">
        <v>0.8</v>
      </c>
      <c r="F52" s="8">
        <v>0.9</v>
      </c>
      <c r="G52" s="8">
        <v>0.9</v>
      </c>
      <c r="H52" s="8">
        <v>0.2</v>
      </c>
      <c r="I52" s="8">
        <v>0.1</v>
      </c>
      <c r="J52" s="8">
        <v>0.4</v>
      </c>
      <c r="K52" s="8">
        <v>0.8</v>
      </c>
      <c r="L52" s="8">
        <v>1</v>
      </c>
      <c r="M52" s="8">
        <v>0.8</v>
      </c>
      <c r="N52" s="1"/>
      <c r="O52" s="1"/>
      <c r="P52" s="1"/>
      <c r="Q52" s="1"/>
      <c r="R52" s="1"/>
      <c r="S52" s="1"/>
      <c r="T52" s="1"/>
      <c r="U52" s="1"/>
    </row>
    <row r="53" spans="1:21" ht="54.6" thickBot="1" x14ac:dyDescent="0.35">
      <c r="A53" s="7" t="s">
        <v>128</v>
      </c>
      <c r="B53" s="8" t="s">
        <v>14</v>
      </c>
      <c r="C53" s="8" t="s">
        <v>129</v>
      </c>
      <c r="D53" s="8">
        <v>0.4</v>
      </c>
      <c r="E53" s="8">
        <v>1</v>
      </c>
      <c r="F53" s="8">
        <v>1</v>
      </c>
      <c r="G53" s="8">
        <v>1</v>
      </c>
      <c r="H53" s="8">
        <v>1</v>
      </c>
      <c r="I53" s="8">
        <v>1</v>
      </c>
      <c r="J53" s="8">
        <v>1</v>
      </c>
      <c r="K53" s="8">
        <v>0.9</v>
      </c>
      <c r="L53" s="8">
        <v>0.6</v>
      </c>
      <c r="M53" s="8">
        <v>0.9</v>
      </c>
      <c r="N53" s="1"/>
      <c r="O53" s="1"/>
      <c r="P53" s="1"/>
      <c r="Q53" s="1"/>
      <c r="R53" s="1"/>
      <c r="S53" s="1"/>
      <c r="T53" s="1"/>
      <c r="U53" s="1"/>
    </row>
    <row r="54" spans="1:21" ht="54.6" thickBot="1" x14ac:dyDescent="0.35">
      <c r="A54" s="7" t="s">
        <v>130</v>
      </c>
      <c r="B54" s="8" t="s">
        <v>14</v>
      </c>
      <c r="C54" s="8" t="s">
        <v>131</v>
      </c>
      <c r="D54" s="8">
        <v>0.9</v>
      </c>
      <c r="E54" s="8">
        <v>0.8</v>
      </c>
      <c r="F54" s="8">
        <v>0.9</v>
      </c>
      <c r="G54" s="8">
        <v>0.8</v>
      </c>
      <c r="H54" s="8">
        <v>0.1</v>
      </c>
      <c r="I54" s="8">
        <v>0.1</v>
      </c>
      <c r="J54" s="8">
        <v>0.8</v>
      </c>
      <c r="K54" s="8">
        <v>0.9</v>
      </c>
      <c r="L54" s="8">
        <v>0.3</v>
      </c>
      <c r="M54" s="8">
        <v>1</v>
      </c>
      <c r="N54" s="1"/>
      <c r="O54" s="1"/>
      <c r="P54" s="1"/>
      <c r="Q54" s="1"/>
      <c r="R54" s="1"/>
      <c r="S54" s="1"/>
      <c r="T54" s="1"/>
      <c r="U54" s="1"/>
    </row>
    <row r="55" spans="1:21" ht="90.6" thickBot="1" x14ac:dyDescent="0.35">
      <c r="A55" s="7" t="s">
        <v>132</v>
      </c>
      <c r="B55" s="8" t="s">
        <v>14</v>
      </c>
      <c r="C55" s="8" t="s">
        <v>133</v>
      </c>
      <c r="D55" s="8">
        <v>0.1</v>
      </c>
      <c r="E55" s="8">
        <v>1</v>
      </c>
      <c r="F55" s="8">
        <v>1</v>
      </c>
      <c r="G55" s="8">
        <v>1</v>
      </c>
      <c r="H55" s="8">
        <v>1</v>
      </c>
      <c r="I55" s="8">
        <v>0.9</v>
      </c>
      <c r="J55" s="8">
        <v>1</v>
      </c>
      <c r="K55" s="8">
        <v>0.8</v>
      </c>
      <c r="L55" s="8">
        <v>0.1</v>
      </c>
      <c r="M55" s="8">
        <v>0.9</v>
      </c>
      <c r="N55" s="1"/>
      <c r="O55" s="1"/>
      <c r="P55" s="1"/>
      <c r="Q55" s="1"/>
      <c r="R55" s="1"/>
      <c r="S55" s="1"/>
      <c r="T55" s="1"/>
      <c r="U55" s="1"/>
    </row>
    <row r="56" spans="1:21" ht="72.599999999999994" thickBot="1" x14ac:dyDescent="0.35">
      <c r="A56" s="7" t="s">
        <v>134</v>
      </c>
      <c r="B56" s="8" t="s">
        <v>14</v>
      </c>
      <c r="C56" s="8" t="s">
        <v>135</v>
      </c>
      <c r="D56" s="8">
        <v>0.1</v>
      </c>
      <c r="E56" s="8">
        <v>0.9</v>
      </c>
      <c r="F56" s="8">
        <v>1</v>
      </c>
      <c r="G56" s="8">
        <v>1</v>
      </c>
      <c r="H56" s="8">
        <v>0.6</v>
      </c>
      <c r="I56" s="8">
        <v>0.8</v>
      </c>
      <c r="J56" s="8">
        <v>0.9</v>
      </c>
      <c r="K56" s="8">
        <v>0.7</v>
      </c>
      <c r="L56" s="8">
        <v>0.1</v>
      </c>
      <c r="M56" s="8">
        <v>0.9</v>
      </c>
      <c r="N56" s="1"/>
      <c r="O56" s="1"/>
      <c r="P56" s="1"/>
      <c r="Q56" s="1"/>
      <c r="R56" s="1"/>
      <c r="S56" s="1"/>
      <c r="T56" s="1"/>
      <c r="U56" s="1"/>
    </row>
    <row r="57" spans="1:21" ht="72.599999999999994" thickBot="1" x14ac:dyDescent="0.35">
      <c r="A57" s="7" t="s">
        <v>136</v>
      </c>
      <c r="B57" s="8" t="s">
        <v>14</v>
      </c>
      <c r="C57" s="8" t="s">
        <v>137</v>
      </c>
      <c r="D57" s="8">
        <v>1</v>
      </c>
      <c r="E57" s="8">
        <v>0.9</v>
      </c>
      <c r="F57" s="8">
        <v>0.9</v>
      </c>
      <c r="G57" s="8">
        <v>0.9</v>
      </c>
      <c r="H57" s="8">
        <v>0.1</v>
      </c>
      <c r="I57" s="8">
        <v>0.1</v>
      </c>
      <c r="J57" s="8">
        <v>0.5</v>
      </c>
      <c r="K57" s="8">
        <v>0.9</v>
      </c>
      <c r="L57" s="8">
        <v>0.6</v>
      </c>
      <c r="M57" s="8">
        <v>0.9</v>
      </c>
      <c r="N57" s="1"/>
      <c r="O57" s="1"/>
      <c r="P57" s="1"/>
      <c r="Q57" s="1"/>
      <c r="R57" s="1"/>
      <c r="S57" s="1"/>
      <c r="T57" s="1"/>
      <c r="U57" s="1"/>
    </row>
    <row r="58" spans="1:21" ht="72.599999999999994" thickBot="1" x14ac:dyDescent="0.35">
      <c r="A58" s="7" t="s">
        <v>138</v>
      </c>
      <c r="B58" s="8" t="s">
        <v>14</v>
      </c>
      <c r="C58" s="8" t="s">
        <v>139</v>
      </c>
      <c r="D58" s="8">
        <v>1</v>
      </c>
      <c r="E58" s="8">
        <v>0.9</v>
      </c>
      <c r="F58" s="8">
        <v>0.9</v>
      </c>
      <c r="G58" s="8">
        <v>0.9</v>
      </c>
      <c r="H58" s="8">
        <v>0.1</v>
      </c>
      <c r="I58" s="8">
        <v>0.1</v>
      </c>
      <c r="J58" s="8">
        <v>0.8</v>
      </c>
      <c r="K58" s="8">
        <v>0.9</v>
      </c>
      <c r="L58" s="8">
        <v>0.7</v>
      </c>
      <c r="M58" s="8">
        <v>0.9</v>
      </c>
      <c r="N58" s="1"/>
      <c r="O58" s="1"/>
      <c r="P58" s="1"/>
      <c r="Q58" s="1"/>
      <c r="R58" s="1"/>
      <c r="S58" s="1"/>
      <c r="T58" s="1"/>
      <c r="U58" s="1"/>
    </row>
    <row r="59" spans="1:21" ht="72.599999999999994" thickBot="1" x14ac:dyDescent="0.35">
      <c r="A59" s="7" t="s">
        <v>140</v>
      </c>
      <c r="B59" s="8" t="s">
        <v>14</v>
      </c>
      <c r="C59" s="8" t="s">
        <v>141</v>
      </c>
      <c r="D59" s="8">
        <v>1</v>
      </c>
      <c r="E59" s="8">
        <v>0.8</v>
      </c>
      <c r="F59" s="8">
        <v>0.9</v>
      </c>
      <c r="G59" s="8">
        <v>0.9</v>
      </c>
      <c r="H59" s="8">
        <v>0.2</v>
      </c>
      <c r="I59" s="8">
        <v>0.1</v>
      </c>
      <c r="J59" s="8">
        <v>0.8</v>
      </c>
      <c r="K59" s="8">
        <v>1</v>
      </c>
      <c r="L59" s="8">
        <v>0.8</v>
      </c>
      <c r="M59" s="8">
        <v>1</v>
      </c>
      <c r="N59" s="1"/>
      <c r="O59" s="1"/>
      <c r="P59" s="1"/>
      <c r="Q59" s="1"/>
      <c r="R59" s="1"/>
      <c r="S59" s="1"/>
      <c r="T59" s="1"/>
      <c r="U59" s="1"/>
    </row>
    <row r="60" spans="1:21" ht="54.6" thickBot="1" x14ac:dyDescent="0.35">
      <c r="A60" s="7" t="s">
        <v>142</v>
      </c>
      <c r="B60" s="8" t="s">
        <v>14</v>
      </c>
      <c r="C60" s="8" t="s">
        <v>143</v>
      </c>
      <c r="D60" s="8">
        <v>0.5</v>
      </c>
      <c r="E60" s="8">
        <v>0.8</v>
      </c>
      <c r="F60" s="8">
        <v>0.7</v>
      </c>
      <c r="G60" s="8">
        <v>0.8</v>
      </c>
      <c r="H60" s="8">
        <v>0.3</v>
      </c>
      <c r="I60" s="8">
        <v>0.1</v>
      </c>
      <c r="J60" s="8">
        <v>0.2</v>
      </c>
      <c r="K60" s="8">
        <v>0.5</v>
      </c>
      <c r="L60" s="8">
        <v>1</v>
      </c>
      <c r="M60" s="8">
        <v>0.4</v>
      </c>
      <c r="N60" s="1"/>
      <c r="O60" s="1"/>
      <c r="P60" s="1"/>
      <c r="Q60" s="1"/>
      <c r="R60" s="1"/>
      <c r="S60" s="1"/>
      <c r="T60" s="1"/>
      <c r="U60" s="1"/>
    </row>
    <row r="61" spans="1:21" ht="54.6" thickBot="1" x14ac:dyDescent="0.35">
      <c r="A61" s="7" t="s">
        <v>144</v>
      </c>
      <c r="B61" s="8" t="s">
        <v>34</v>
      </c>
      <c r="C61" s="8" t="s">
        <v>145</v>
      </c>
      <c r="D61" s="8">
        <v>0.9</v>
      </c>
      <c r="E61" s="8">
        <v>0.9</v>
      </c>
      <c r="F61" s="8">
        <v>0.8</v>
      </c>
      <c r="G61" s="8">
        <v>0.8</v>
      </c>
      <c r="H61" s="8">
        <v>0.3</v>
      </c>
      <c r="I61" s="8">
        <v>0.2</v>
      </c>
      <c r="J61" s="8">
        <v>0.9</v>
      </c>
      <c r="K61" s="8">
        <v>1</v>
      </c>
      <c r="L61" s="8">
        <v>0.3</v>
      </c>
      <c r="M61" s="8">
        <v>0.9</v>
      </c>
      <c r="N61" s="1"/>
      <c r="O61" s="1"/>
      <c r="P61" s="1"/>
      <c r="Q61" s="1"/>
      <c r="R61" s="1"/>
      <c r="S61" s="1"/>
      <c r="T61" s="1"/>
      <c r="U61" s="1"/>
    </row>
    <row r="62" spans="1:21" ht="54.6" thickBot="1" x14ac:dyDescent="0.35">
      <c r="A62" s="7" t="s">
        <v>146</v>
      </c>
      <c r="B62" s="8" t="s">
        <v>34</v>
      </c>
      <c r="C62" s="8" t="s">
        <v>147</v>
      </c>
      <c r="D62" s="8">
        <v>0.5</v>
      </c>
      <c r="E62" s="8">
        <v>0.8</v>
      </c>
      <c r="F62" s="8">
        <v>0.7</v>
      </c>
      <c r="G62" s="8">
        <v>1</v>
      </c>
      <c r="H62" s="8">
        <v>0.4</v>
      </c>
      <c r="I62" s="8">
        <v>0.1</v>
      </c>
      <c r="J62" s="8">
        <v>0.4</v>
      </c>
      <c r="K62" s="8">
        <v>0.5</v>
      </c>
      <c r="L62" s="8">
        <v>1</v>
      </c>
      <c r="M62" s="8">
        <v>0.4</v>
      </c>
      <c r="N62" s="1"/>
      <c r="O62" s="1"/>
      <c r="P62" s="1"/>
      <c r="Q62" s="1"/>
      <c r="R62" s="1"/>
      <c r="S62" s="1"/>
      <c r="T62" s="1"/>
      <c r="U62" s="1"/>
    </row>
    <row r="63" spans="1:21" ht="72.599999999999994" thickBot="1" x14ac:dyDescent="0.35">
      <c r="A63" s="7" t="s">
        <v>148</v>
      </c>
      <c r="B63" s="8" t="s">
        <v>34</v>
      </c>
      <c r="C63" s="8" t="s">
        <v>149</v>
      </c>
      <c r="D63" s="8">
        <v>1</v>
      </c>
      <c r="E63" s="8">
        <v>1</v>
      </c>
      <c r="F63" s="8">
        <v>0.8</v>
      </c>
      <c r="G63" s="8">
        <v>1</v>
      </c>
      <c r="H63" s="8">
        <v>0.8</v>
      </c>
      <c r="I63" s="8">
        <v>0.1</v>
      </c>
      <c r="J63" s="8">
        <v>0.4</v>
      </c>
      <c r="K63" s="8">
        <v>1</v>
      </c>
      <c r="L63" s="8">
        <v>1</v>
      </c>
      <c r="M63" s="8">
        <v>1</v>
      </c>
      <c r="N63" s="1"/>
      <c r="O63" s="1"/>
      <c r="P63" s="1"/>
      <c r="Q63" s="1"/>
      <c r="R63" s="1"/>
      <c r="S63" s="1"/>
      <c r="T63" s="1"/>
      <c r="U63" s="1"/>
    </row>
    <row r="64" spans="1:21" ht="72.599999999999994" thickBot="1" x14ac:dyDescent="0.35">
      <c r="A64" s="7" t="s">
        <v>150</v>
      </c>
      <c r="B64" s="8" t="s">
        <v>34</v>
      </c>
      <c r="C64" s="8" t="s">
        <v>151</v>
      </c>
      <c r="D64" s="8">
        <v>0.2</v>
      </c>
      <c r="E64" s="8">
        <v>0.8</v>
      </c>
      <c r="F64" s="8">
        <v>0.4</v>
      </c>
      <c r="G64" s="8">
        <v>0.4</v>
      </c>
      <c r="H64" s="8">
        <v>0.3</v>
      </c>
      <c r="I64" s="8">
        <v>0.1</v>
      </c>
      <c r="J64" s="8">
        <v>1</v>
      </c>
      <c r="K64" s="8">
        <v>1</v>
      </c>
      <c r="L64" s="8">
        <v>0.1</v>
      </c>
      <c r="M64" s="8">
        <v>0.5</v>
      </c>
      <c r="N64" s="1"/>
      <c r="O64" s="1"/>
      <c r="P64" s="1"/>
      <c r="Q64" s="1"/>
      <c r="R64" s="1"/>
      <c r="S64" s="1"/>
      <c r="T64" s="1"/>
      <c r="U64" s="1"/>
    </row>
    <row r="65" spans="1:21" ht="72.599999999999994" thickBot="1" x14ac:dyDescent="0.35">
      <c r="A65" s="7" t="s">
        <v>152</v>
      </c>
      <c r="B65" s="8" t="s">
        <v>34</v>
      </c>
      <c r="C65" s="8" t="s">
        <v>153</v>
      </c>
      <c r="D65" s="8">
        <v>1</v>
      </c>
      <c r="E65" s="8">
        <v>0.9</v>
      </c>
      <c r="F65" s="8">
        <v>0.6</v>
      </c>
      <c r="G65" s="8">
        <v>1</v>
      </c>
      <c r="H65" s="8">
        <v>0.1</v>
      </c>
      <c r="I65" s="8">
        <v>0.1</v>
      </c>
      <c r="J65" s="8">
        <v>0.4</v>
      </c>
      <c r="K65" s="8">
        <v>1</v>
      </c>
      <c r="L65" s="8">
        <v>0.3</v>
      </c>
      <c r="M65" s="8">
        <v>0.9</v>
      </c>
      <c r="N65" s="1"/>
      <c r="O65" s="1"/>
      <c r="P65" s="1"/>
      <c r="Q65" s="1"/>
      <c r="R65" s="1"/>
      <c r="S65" s="1"/>
      <c r="T65" s="1"/>
      <c r="U65" s="1"/>
    </row>
    <row r="66" spans="1:21" ht="72.599999999999994" thickBot="1" x14ac:dyDescent="0.35">
      <c r="A66" s="7" t="s">
        <v>154</v>
      </c>
      <c r="B66" s="8" t="s">
        <v>34</v>
      </c>
      <c r="C66" s="8" t="s">
        <v>155</v>
      </c>
      <c r="D66" s="8">
        <v>0.4</v>
      </c>
      <c r="E66" s="8">
        <v>0.7</v>
      </c>
      <c r="F66" s="8">
        <v>0.6</v>
      </c>
      <c r="G66" s="8">
        <v>0.6</v>
      </c>
      <c r="H66" s="8">
        <v>0.1</v>
      </c>
      <c r="I66" s="8">
        <v>0.1</v>
      </c>
      <c r="J66" s="8">
        <v>1</v>
      </c>
      <c r="K66" s="8">
        <v>0.9</v>
      </c>
      <c r="L66" s="8">
        <v>0.2</v>
      </c>
      <c r="M66" s="8">
        <v>0.7</v>
      </c>
      <c r="N66" s="1"/>
      <c r="O66" s="1"/>
      <c r="P66" s="1"/>
      <c r="Q66" s="1"/>
      <c r="R66" s="1"/>
      <c r="S66" s="1"/>
      <c r="T66" s="1"/>
      <c r="U66" s="1"/>
    </row>
    <row r="67" spans="1:21" ht="72.599999999999994" thickBot="1" x14ac:dyDescent="0.35">
      <c r="A67" s="7" t="s">
        <v>156</v>
      </c>
      <c r="B67" s="8" t="s">
        <v>34</v>
      </c>
      <c r="C67" s="8" t="s">
        <v>157</v>
      </c>
      <c r="D67" s="8">
        <v>0.5</v>
      </c>
      <c r="E67" s="8">
        <v>0.6</v>
      </c>
      <c r="F67" s="8">
        <v>0.5</v>
      </c>
      <c r="G67" s="8">
        <v>0.6</v>
      </c>
      <c r="H67" s="8">
        <v>0.1</v>
      </c>
      <c r="I67" s="8">
        <v>0.1</v>
      </c>
      <c r="J67" s="8">
        <v>1</v>
      </c>
      <c r="K67" s="8">
        <v>0.9</v>
      </c>
      <c r="L67" s="8">
        <v>0.2</v>
      </c>
      <c r="M67" s="8">
        <v>0.6</v>
      </c>
      <c r="N67" s="1"/>
      <c r="O67" s="1"/>
      <c r="P67" s="1"/>
      <c r="Q67" s="1"/>
      <c r="R67" s="1"/>
      <c r="S67" s="1"/>
      <c r="T67" s="1"/>
      <c r="U67" s="1"/>
    </row>
    <row r="68" spans="1:21" ht="72.599999999999994" thickBot="1" x14ac:dyDescent="0.35">
      <c r="A68" s="7" t="s">
        <v>158</v>
      </c>
      <c r="B68" s="8" t="s">
        <v>51</v>
      </c>
      <c r="C68" s="8" t="s">
        <v>159</v>
      </c>
      <c r="D68" s="8">
        <v>0.4</v>
      </c>
      <c r="E68" s="8">
        <v>0.9</v>
      </c>
      <c r="F68" s="8">
        <v>1</v>
      </c>
      <c r="G68" s="8">
        <v>0.9</v>
      </c>
      <c r="H68" s="8">
        <v>0.4</v>
      </c>
      <c r="I68" s="8">
        <v>0.2</v>
      </c>
      <c r="J68" s="8">
        <v>0.8</v>
      </c>
      <c r="K68" s="8">
        <v>0.8</v>
      </c>
      <c r="L68" s="8">
        <v>0.6</v>
      </c>
      <c r="M68" s="8">
        <v>0.9</v>
      </c>
      <c r="N68" s="1"/>
      <c r="O68" s="1"/>
      <c r="P68" s="1"/>
      <c r="Q68" s="1"/>
      <c r="R68" s="1"/>
      <c r="S68" s="1"/>
      <c r="T68" s="1"/>
      <c r="U68" s="1"/>
    </row>
    <row r="69" spans="1:21" ht="72.599999999999994" thickBot="1" x14ac:dyDescent="0.35">
      <c r="A69" s="7" t="s">
        <v>160</v>
      </c>
      <c r="B69" s="8" t="s">
        <v>51</v>
      </c>
      <c r="C69" s="8" t="s">
        <v>161</v>
      </c>
      <c r="D69" s="8">
        <v>0.6</v>
      </c>
      <c r="E69" s="8">
        <v>0.8</v>
      </c>
      <c r="F69" s="8">
        <v>0.8</v>
      </c>
      <c r="G69" s="8">
        <v>0.7</v>
      </c>
      <c r="H69" s="8">
        <v>0.5</v>
      </c>
      <c r="I69" s="8">
        <v>0.1</v>
      </c>
      <c r="J69" s="8">
        <v>0.3</v>
      </c>
      <c r="K69" s="8">
        <v>0.6</v>
      </c>
      <c r="L69" s="8">
        <v>0.2</v>
      </c>
      <c r="M69" s="8">
        <v>0.7</v>
      </c>
      <c r="N69" s="1"/>
      <c r="O69" s="1"/>
      <c r="P69" s="1"/>
      <c r="Q69" s="1"/>
      <c r="R69" s="1"/>
      <c r="S69" s="1"/>
      <c r="T69" s="1"/>
      <c r="U69" s="1"/>
    </row>
    <row r="70" spans="1:21" ht="72.599999999999994" thickBot="1" x14ac:dyDescent="0.35">
      <c r="A70" s="7" t="s">
        <v>162</v>
      </c>
      <c r="B70" s="8" t="s">
        <v>51</v>
      </c>
      <c r="C70" s="8" t="s">
        <v>163</v>
      </c>
      <c r="D70" s="8">
        <v>0.4</v>
      </c>
      <c r="E70" s="8">
        <v>0.9</v>
      </c>
      <c r="F70" s="8">
        <v>0.8</v>
      </c>
      <c r="G70" s="8">
        <v>1</v>
      </c>
      <c r="H70" s="8">
        <v>0.5</v>
      </c>
      <c r="I70" s="8">
        <v>0.1</v>
      </c>
      <c r="J70" s="8">
        <v>0.9</v>
      </c>
      <c r="K70" s="8">
        <v>1</v>
      </c>
      <c r="L70" s="8">
        <v>0.6</v>
      </c>
      <c r="M70" s="8">
        <v>0.9</v>
      </c>
      <c r="N70" s="1"/>
      <c r="O70" s="1"/>
      <c r="P70" s="1"/>
      <c r="Q70" s="1"/>
      <c r="R70" s="1"/>
      <c r="S70" s="1"/>
      <c r="T70" s="1"/>
      <c r="U70" s="1"/>
    </row>
    <row r="71" spans="1:21" ht="72.599999999999994" thickBot="1" x14ac:dyDescent="0.35">
      <c r="A71" s="7" t="s">
        <v>164</v>
      </c>
      <c r="B71" s="8" t="s">
        <v>51</v>
      </c>
      <c r="C71" s="8" t="s">
        <v>165</v>
      </c>
      <c r="D71" s="8">
        <v>0.2</v>
      </c>
      <c r="E71" s="8">
        <v>0.7</v>
      </c>
      <c r="F71" s="8">
        <v>0.8</v>
      </c>
      <c r="G71" s="8">
        <v>0.9</v>
      </c>
      <c r="H71" s="8">
        <v>0.3</v>
      </c>
      <c r="I71" s="8">
        <v>0.4</v>
      </c>
      <c r="J71" s="8">
        <v>0.7</v>
      </c>
      <c r="K71" s="8">
        <v>0.6</v>
      </c>
      <c r="L71" s="8">
        <v>0.4</v>
      </c>
      <c r="M71" s="8">
        <v>1</v>
      </c>
      <c r="N71" s="1"/>
      <c r="O71" s="1"/>
      <c r="P71" s="1"/>
      <c r="Q71" s="1"/>
      <c r="R71" s="1"/>
      <c r="S71" s="1"/>
      <c r="T71" s="1"/>
      <c r="U71" s="1"/>
    </row>
    <row r="72" spans="1:21" ht="72.599999999999994" thickBot="1" x14ac:dyDescent="0.35">
      <c r="A72" s="7" t="s">
        <v>166</v>
      </c>
      <c r="B72" s="8" t="s">
        <v>51</v>
      </c>
      <c r="C72" s="8" t="s">
        <v>167</v>
      </c>
      <c r="D72" s="8">
        <v>0.1</v>
      </c>
      <c r="E72" s="8">
        <v>0.9</v>
      </c>
      <c r="F72" s="8">
        <v>1</v>
      </c>
      <c r="G72" s="8">
        <v>1</v>
      </c>
      <c r="H72" s="8">
        <v>0.2</v>
      </c>
      <c r="I72" s="8">
        <v>0.1</v>
      </c>
      <c r="J72" s="8">
        <v>1</v>
      </c>
      <c r="K72" s="8">
        <v>1</v>
      </c>
      <c r="L72" s="8">
        <v>0.1</v>
      </c>
      <c r="M72" s="8">
        <v>1</v>
      </c>
      <c r="N72" s="1"/>
      <c r="O72" s="1"/>
      <c r="P72" s="1"/>
      <c r="Q72" s="1"/>
      <c r="R72" s="1"/>
      <c r="S72" s="1"/>
      <c r="T72" s="1"/>
      <c r="U72" s="1"/>
    </row>
    <row r="73" spans="1:21" ht="72.599999999999994" thickBot="1" x14ac:dyDescent="0.35">
      <c r="A73" s="7" t="s">
        <v>168</v>
      </c>
      <c r="B73" s="8" t="s">
        <v>51</v>
      </c>
      <c r="C73" s="8" t="s">
        <v>169</v>
      </c>
      <c r="D73" s="8">
        <v>0.2</v>
      </c>
      <c r="E73" s="8">
        <v>1</v>
      </c>
      <c r="F73" s="8">
        <v>0.8</v>
      </c>
      <c r="G73" s="8">
        <v>0.5</v>
      </c>
      <c r="H73" s="8">
        <v>0.4</v>
      </c>
      <c r="I73" s="8">
        <v>0.1</v>
      </c>
      <c r="J73" s="8">
        <v>0.1</v>
      </c>
      <c r="K73" s="8">
        <v>0.7</v>
      </c>
      <c r="L73" s="8">
        <v>0.1</v>
      </c>
      <c r="M73" s="8">
        <v>0.9</v>
      </c>
      <c r="N73" s="1"/>
      <c r="O73" s="1"/>
      <c r="P73" s="1"/>
      <c r="Q73" s="1"/>
      <c r="R73" s="1"/>
      <c r="S73" s="1"/>
      <c r="T73" s="1"/>
      <c r="U73" s="1"/>
    </row>
    <row r="74" spans="1:21" ht="54.6" thickBot="1" x14ac:dyDescent="0.35">
      <c r="A74" s="7" t="s">
        <v>170</v>
      </c>
      <c r="B74" s="8" t="s">
        <v>51</v>
      </c>
      <c r="C74" s="8" t="s">
        <v>171</v>
      </c>
      <c r="D74" s="8">
        <v>1</v>
      </c>
      <c r="E74" s="8">
        <v>0.8</v>
      </c>
      <c r="F74" s="8">
        <v>1</v>
      </c>
      <c r="G74" s="8">
        <v>1</v>
      </c>
      <c r="H74" s="8">
        <v>0.8</v>
      </c>
      <c r="I74" s="8">
        <v>1</v>
      </c>
      <c r="J74" s="8">
        <v>1</v>
      </c>
      <c r="K74" s="8">
        <v>0.8</v>
      </c>
      <c r="L74" s="8">
        <v>0.8</v>
      </c>
      <c r="M74" s="8">
        <v>1</v>
      </c>
    </row>
    <row r="75" spans="1:21" ht="72.599999999999994" thickBot="1" x14ac:dyDescent="0.35">
      <c r="A75" s="7" t="s">
        <v>172</v>
      </c>
      <c r="B75" s="8" t="s">
        <v>51</v>
      </c>
      <c r="C75" s="8" t="s">
        <v>173</v>
      </c>
      <c r="D75" s="8">
        <v>0.8</v>
      </c>
      <c r="E75" s="8">
        <v>0.9</v>
      </c>
      <c r="F75" s="8">
        <v>1</v>
      </c>
      <c r="G75" s="8">
        <v>1</v>
      </c>
      <c r="H75" s="8">
        <v>0.5</v>
      </c>
      <c r="I75" s="8">
        <v>0.1</v>
      </c>
      <c r="J75" s="8">
        <v>0.8</v>
      </c>
      <c r="K75" s="8">
        <v>1</v>
      </c>
      <c r="L75" s="8">
        <v>0.6</v>
      </c>
      <c r="M75" s="8">
        <v>1</v>
      </c>
    </row>
    <row r="76" spans="1:21" ht="72.599999999999994" thickBot="1" x14ac:dyDescent="0.35">
      <c r="A76" s="7" t="s">
        <v>174</v>
      </c>
      <c r="B76" s="8" t="s">
        <v>68</v>
      </c>
      <c r="C76" s="8" t="s">
        <v>175</v>
      </c>
      <c r="D76" s="8">
        <v>0.1</v>
      </c>
      <c r="E76" s="8">
        <v>0.9</v>
      </c>
      <c r="F76" s="8">
        <v>1</v>
      </c>
      <c r="G76" s="8">
        <v>1</v>
      </c>
      <c r="H76" s="8">
        <v>0.1</v>
      </c>
      <c r="I76" s="8">
        <v>0.8</v>
      </c>
      <c r="J76" s="8">
        <v>0.6</v>
      </c>
      <c r="K76" s="8">
        <v>0.1</v>
      </c>
      <c r="L76" s="8">
        <v>0.4</v>
      </c>
      <c r="M76" s="8">
        <v>0.8</v>
      </c>
    </row>
    <row r="77" spans="1:21" ht="72.599999999999994" thickBot="1" x14ac:dyDescent="0.35">
      <c r="A77" s="7" t="s">
        <v>176</v>
      </c>
      <c r="B77" s="8" t="s">
        <v>68</v>
      </c>
      <c r="C77" s="8" t="s">
        <v>177</v>
      </c>
      <c r="D77" s="8">
        <v>0.9</v>
      </c>
      <c r="E77" s="8">
        <v>0.8</v>
      </c>
      <c r="F77" s="8">
        <v>1</v>
      </c>
      <c r="G77" s="8">
        <v>1</v>
      </c>
      <c r="H77" s="8">
        <v>0.3</v>
      </c>
      <c r="I77" s="8">
        <v>0.1</v>
      </c>
      <c r="J77" s="8">
        <v>0.6</v>
      </c>
      <c r="K77" s="8">
        <v>0.9</v>
      </c>
      <c r="L77" s="8">
        <v>0.7</v>
      </c>
      <c r="M77" s="8">
        <v>0.9</v>
      </c>
    </row>
    <row r="78" spans="1:21" ht="72.599999999999994" thickBot="1" x14ac:dyDescent="0.35">
      <c r="A78" s="7" t="s">
        <v>178</v>
      </c>
      <c r="B78" s="8" t="s">
        <v>68</v>
      </c>
      <c r="C78" s="8" t="s">
        <v>179</v>
      </c>
      <c r="D78" s="8">
        <v>1</v>
      </c>
      <c r="E78" s="8">
        <v>0.9</v>
      </c>
      <c r="F78" s="8">
        <v>0.9</v>
      </c>
      <c r="G78" s="8">
        <v>1</v>
      </c>
      <c r="H78" s="8">
        <v>0.4</v>
      </c>
      <c r="I78" s="8">
        <v>0.1</v>
      </c>
      <c r="J78" s="8">
        <v>0.5</v>
      </c>
      <c r="K78" s="8">
        <v>0.8</v>
      </c>
      <c r="L78" s="8">
        <v>0.6</v>
      </c>
      <c r="M78" s="8">
        <v>0.9</v>
      </c>
    </row>
    <row r="79" spans="1:21" ht="54.6" thickBot="1" x14ac:dyDescent="0.35">
      <c r="A79" s="7" t="s">
        <v>180</v>
      </c>
      <c r="B79" s="8" t="s">
        <v>68</v>
      </c>
      <c r="C79" s="8" t="s">
        <v>181</v>
      </c>
      <c r="D79" s="8">
        <v>1</v>
      </c>
      <c r="E79" s="8">
        <v>1</v>
      </c>
      <c r="F79" s="8">
        <v>1</v>
      </c>
      <c r="G79" s="8">
        <v>1</v>
      </c>
      <c r="H79" s="8">
        <v>1</v>
      </c>
      <c r="I79" s="8">
        <v>1</v>
      </c>
      <c r="J79" s="8">
        <v>1</v>
      </c>
      <c r="K79" s="8">
        <v>1</v>
      </c>
      <c r="L79" s="8">
        <v>1</v>
      </c>
      <c r="M79" s="8">
        <v>1</v>
      </c>
    </row>
    <row r="80" spans="1:21" ht="72.599999999999994" thickBot="1" x14ac:dyDescent="0.35">
      <c r="A80" s="7" t="s">
        <v>182</v>
      </c>
      <c r="B80" s="8" t="s">
        <v>68</v>
      </c>
      <c r="C80" s="8" t="s">
        <v>183</v>
      </c>
      <c r="D80" s="8">
        <v>1</v>
      </c>
      <c r="E80" s="8">
        <v>1</v>
      </c>
      <c r="F80" s="8">
        <v>1</v>
      </c>
      <c r="G80" s="8">
        <v>1</v>
      </c>
      <c r="H80" s="8">
        <v>1</v>
      </c>
      <c r="I80" s="8">
        <v>1</v>
      </c>
      <c r="J80" s="8">
        <v>1</v>
      </c>
      <c r="K80" s="8">
        <v>1</v>
      </c>
      <c r="L80" s="8">
        <v>1</v>
      </c>
      <c r="M80" s="8">
        <v>1</v>
      </c>
    </row>
    <row r="81" spans="1:13" ht="72.599999999999994" thickBot="1" x14ac:dyDescent="0.35">
      <c r="A81" s="7" t="s">
        <v>184</v>
      </c>
      <c r="B81" s="8" t="s">
        <v>68</v>
      </c>
      <c r="C81" s="8" t="s">
        <v>185</v>
      </c>
      <c r="D81" s="8">
        <v>0.1</v>
      </c>
      <c r="E81" s="8">
        <v>0.1</v>
      </c>
      <c r="F81" s="8">
        <v>1</v>
      </c>
      <c r="G81" s="8">
        <v>0.2</v>
      </c>
      <c r="H81" s="8">
        <v>0.4</v>
      </c>
      <c r="I81" s="8">
        <v>1</v>
      </c>
      <c r="J81" s="8">
        <v>0.5</v>
      </c>
      <c r="K81" s="8">
        <v>0.1</v>
      </c>
      <c r="L81" s="8">
        <v>0.1</v>
      </c>
      <c r="M81" s="8">
        <v>0.1</v>
      </c>
    </row>
    <row r="82" spans="1:13" ht="72.599999999999994" thickBot="1" x14ac:dyDescent="0.35">
      <c r="A82" s="7" t="s">
        <v>186</v>
      </c>
      <c r="B82" s="8" t="s">
        <v>68</v>
      </c>
      <c r="C82" s="8" t="s">
        <v>187</v>
      </c>
      <c r="D82" s="8">
        <v>0.4</v>
      </c>
      <c r="E82" s="8">
        <v>0.6</v>
      </c>
      <c r="F82" s="8">
        <v>0.6</v>
      </c>
      <c r="G82" s="8">
        <v>0.8</v>
      </c>
      <c r="H82" s="8">
        <v>0.9</v>
      </c>
      <c r="I82" s="8">
        <v>1</v>
      </c>
      <c r="J82" s="8">
        <v>0.7</v>
      </c>
      <c r="K82" s="8">
        <v>0.6</v>
      </c>
      <c r="L82" s="8">
        <v>0.8</v>
      </c>
      <c r="M82" s="8">
        <v>0.5</v>
      </c>
    </row>
    <row r="83" spans="1:13" ht="72.599999999999994" thickBot="1" x14ac:dyDescent="0.35">
      <c r="A83" s="7" t="s">
        <v>188</v>
      </c>
      <c r="B83" s="8" t="s">
        <v>68</v>
      </c>
      <c r="C83" s="8" t="s">
        <v>189</v>
      </c>
      <c r="D83" s="8">
        <v>1</v>
      </c>
      <c r="E83" s="8">
        <v>0.8</v>
      </c>
      <c r="F83" s="8">
        <v>1</v>
      </c>
      <c r="G83" s="8">
        <v>1</v>
      </c>
      <c r="H83" s="8">
        <v>0.3</v>
      </c>
      <c r="I83" s="8">
        <v>0.1</v>
      </c>
      <c r="J83" s="8">
        <v>0.4</v>
      </c>
      <c r="K83" s="8">
        <v>0.6</v>
      </c>
      <c r="L83" s="8">
        <v>0.8</v>
      </c>
      <c r="M83" s="8">
        <v>0.9</v>
      </c>
    </row>
    <row r="84" spans="1:13" ht="72.599999999999994" thickBot="1" x14ac:dyDescent="0.35">
      <c r="A84" s="7" t="s">
        <v>190</v>
      </c>
      <c r="B84" s="8" t="s">
        <v>85</v>
      </c>
      <c r="C84" s="8" t="s">
        <v>191</v>
      </c>
      <c r="D84" s="8">
        <v>1</v>
      </c>
      <c r="E84" s="8">
        <v>0.6</v>
      </c>
      <c r="F84" s="8">
        <v>0.3</v>
      </c>
      <c r="G84" s="8">
        <v>0.5</v>
      </c>
      <c r="H84" s="8">
        <v>0.9</v>
      </c>
      <c r="I84" s="8">
        <v>0.4</v>
      </c>
      <c r="J84" s="8">
        <v>0.5</v>
      </c>
      <c r="K84" s="8">
        <v>0.7</v>
      </c>
      <c r="L84" s="8">
        <v>0.9</v>
      </c>
      <c r="M84" s="8">
        <v>0.5</v>
      </c>
    </row>
    <row r="85" spans="1:13" ht="72.599999999999994" thickBot="1" x14ac:dyDescent="0.35">
      <c r="A85" s="7" t="s">
        <v>192</v>
      </c>
      <c r="B85" s="8" t="s">
        <v>85</v>
      </c>
      <c r="C85" s="8" t="s">
        <v>193</v>
      </c>
      <c r="D85" s="8">
        <v>1</v>
      </c>
      <c r="E85" s="8">
        <v>0.9</v>
      </c>
      <c r="F85" s="8">
        <v>1</v>
      </c>
      <c r="G85" s="8">
        <v>0.9</v>
      </c>
      <c r="H85" s="8">
        <v>0.2</v>
      </c>
      <c r="I85" s="8">
        <v>0.1</v>
      </c>
      <c r="J85" s="8">
        <v>0.8</v>
      </c>
      <c r="K85" s="8">
        <v>1</v>
      </c>
      <c r="L85" s="8">
        <v>0.7</v>
      </c>
      <c r="M85" s="8">
        <v>1</v>
      </c>
    </row>
    <row r="86" spans="1:13" ht="72.599999999999994" thickBot="1" x14ac:dyDescent="0.35">
      <c r="A86" s="7" t="s">
        <v>194</v>
      </c>
      <c r="B86" s="8" t="s">
        <v>85</v>
      </c>
      <c r="C86" s="8" t="s">
        <v>195</v>
      </c>
      <c r="D86" s="8">
        <v>0.9</v>
      </c>
      <c r="E86" s="8">
        <v>0.8</v>
      </c>
      <c r="F86" s="8">
        <v>0.8</v>
      </c>
      <c r="G86" s="8">
        <v>0.8</v>
      </c>
      <c r="H86" s="8">
        <v>0.1</v>
      </c>
      <c r="I86" s="8">
        <v>0.1</v>
      </c>
      <c r="J86" s="8">
        <v>0.9</v>
      </c>
      <c r="K86" s="8">
        <v>1</v>
      </c>
      <c r="L86" s="8">
        <v>0.3</v>
      </c>
      <c r="M86" s="8">
        <v>0.9</v>
      </c>
    </row>
    <row r="87" spans="1:13" ht="72.599999999999994" thickBot="1" x14ac:dyDescent="0.35">
      <c r="A87" s="7" t="s">
        <v>196</v>
      </c>
      <c r="B87" s="8" t="s">
        <v>85</v>
      </c>
      <c r="C87" s="8" t="s">
        <v>197</v>
      </c>
      <c r="D87" s="8">
        <v>0.6</v>
      </c>
      <c r="E87" s="8">
        <v>1</v>
      </c>
      <c r="F87" s="8">
        <v>1</v>
      </c>
      <c r="G87" s="8">
        <v>1</v>
      </c>
      <c r="H87" s="8">
        <v>0.2</v>
      </c>
      <c r="I87" s="8">
        <v>0.1</v>
      </c>
      <c r="J87" s="8">
        <v>0.6</v>
      </c>
      <c r="K87" s="8">
        <v>0.8</v>
      </c>
      <c r="L87" s="8">
        <v>0.2</v>
      </c>
      <c r="M87" s="8">
        <v>1</v>
      </c>
    </row>
    <row r="88" spans="1:13" ht="72.599999999999994" thickBot="1" x14ac:dyDescent="0.35">
      <c r="A88" s="7" t="s">
        <v>198</v>
      </c>
      <c r="B88" s="8" t="s">
        <v>85</v>
      </c>
      <c r="C88" s="8" t="s">
        <v>199</v>
      </c>
      <c r="D88" s="8">
        <v>0.5</v>
      </c>
      <c r="E88" s="8">
        <v>0.8</v>
      </c>
      <c r="F88" s="8">
        <v>1</v>
      </c>
      <c r="G88" s="8">
        <v>0.7</v>
      </c>
      <c r="H88" s="8">
        <v>0.2</v>
      </c>
      <c r="I88" s="8">
        <v>0.1</v>
      </c>
      <c r="J88" s="8">
        <v>0.7</v>
      </c>
      <c r="K88" s="8">
        <v>0.9</v>
      </c>
      <c r="L88" s="8">
        <v>0.2</v>
      </c>
      <c r="M88" s="8">
        <v>0.9</v>
      </c>
    </row>
    <row r="89" spans="1:13" ht="72.599999999999994" thickBot="1" x14ac:dyDescent="0.35">
      <c r="A89" s="7" t="s">
        <v>200</v>
      </c>
      <c r="B89" s="8" t="s">
        <v>85</v>
      </c>
      <c r="C89" s="8" t="s">
        <v>201</v>
      </c>
      <c r="D89" s="8">
        <v>0.8</v>
      </c>
      <c r="E89" s="8">
        <v>0.7</v>
      </c>
      <c r="F89" s="8">
        <v>0.9</v>
      </c>
      <c r="G89" s="8">
        <v>0.8</v>
      </c>
      <c r="H89" s="8">
        <v>0.1</v>
      </c>
      <c r="I89" s="8">
        <v>0.1</v>
      </c>
      <c r="J89" s="8">
        <v>0.5</v>
      </c>
      <c r="K89" s="8">
        <v>0.8</v>
      </c>
      <c r="L89" s="8">
        <v>0.4</v>
      </c>
      <c r="M89" s="8">
        <v>0.8</v>
      </c>
    </row>
    <row r="90" spans="1:13" ht="72.599999999999994" thickBot="1" x14ac:dyDescent="0.35">
      <c r="A90" s="7" t="s">
        <v>202</v>
      </c>
      <c r="B90" s="8" t="s">
        <v>85</v>
      </c>
      <c r="C90" s="8" t="s">
        <v>203</v>
      </c>
      <c r="D90" s="8">
        <v>1</v>
      </c>
      <c r="E90" s="8">
        <v>0.9</v>
      </c>
      <c r="F90" s="8">
        <v>0.9</v>
      </c>
      <c r="G90" s="8">
        <v>0.8</v>
      </c>
      <c r="H90" s="8">
        <v>0.1</v>
      </c>
      <c r="I90" s="8">
        <v>0.1</v>
      </c>
      <c r="J90" s="8">
        <v>0.8</v>
      </c>
      <c r="K90" s="8">
        <v>1</v>
      </c>
      <c r="L90" s="8">
        <v>0.4</v>
      </c>
      <c r="M90" s="8">
        <v>0.9</v>
      </c>
    </row>
    <row r="91" spans="1:13" ht="72.599999999999994" thickBot="1" x14ac:dyDescent="0.35">
      <c r="A91" s="7" t="s">
        <v>204</v>
      </c>
      <c r="B91" s="8" t="s">
        <v>100</v>
      </c>
      <c r="C91" s="8" t="s">
        <v>205</v>
      </c>
      <c r="D91" s="8">
        <v>0.1</v>
      </c>
      <c r="E91" s="8">
        <v>0.2</v>
      </c>
      <c r="F91" s="8">
        <v>0.1</v>
      </c>
      <c r="G91" s="8">
        <v>0.2</v>
      </c>
      <c r="H91" s="8">
        <v>1</v>
      </c>
      <c r="I91" s="8">
        <v>0.9</v>
      </c>
      <c r="J91" s="8">
        <v>0.3</v>
      </c>
      <c r="K91" s="8">
        <v>0.1</v>
      </c>
      <c r="L91" s="8">
        <v>0.2</v>
      </c>
      <c r="M91" s="8">
        <v>0.1</v>
      </c>
    </row>
    <row r="92" spans="1:13" ht="72.599999999999994" thickBot="1" x14ac:dyDescent="0.35">
      <c r="A92" s="7" t="s">
        <v>206</v>
      </c>
      <c r="B92" s="8" t="s">
        <v>100</v>
      </c>
      <c r="C92" s="8" t="s">
        <v>207</v>
      </c>
      <c r="D92" s="8">
        <v>0.7</v>
      </c>
      <c r="E92" s="8">
        <v>0.8</v>
      </c>
      <c r="F92" s="8">
        <v>0.6</v>
      </c>
      <c r="G92" s="8">
        <v>0.7</v>
      </c>
      <c r="H92" s="8">
        <v>0.8</v>
      </c>
      <c r="I92" s="8">
        <v>0.2</v>
      </c>
      <c r="J92" s="8">
        <v>0.4</v>
      </c>
      <c r="K92" s="8">
        <v>0.5</v>
      </c>
      <c r="L92" s="8">
        <v>0.4</v>
      </c>
      <c r="M92" s="8">
        <v>0.6</v>
      </c>
    </row>
    <row r="93" spans="1:13" ht="72.599999999999994" thickBot="1" x14ac:dyDescent="0.35">
      <c r="A93" s="7" t="s">
        <v>208</v>
      </c>
      <c r="B93" s="8" t="s">
        <v>100</v>
      </c>
      <c r="C93" s="8" t="s">
        <v>209</v>
      </c>
      <c r="D93" s="8">
        <v>1</v>
      </c>
      <c r="E93" s="8">
        <v>1</v>
      </c>
      <c r="F93" s="8">
        <v>0.9</v>
      </c>
      <c r="G93" s="8">
        <v>0.8</v>
      </c>
      <c r="H93" s="8">
        <v>0.6</v>
      </c>
      <c r="I93" s="8">
        <v>0.3</v>
      </c>
      <c r="J93" s="8">
        <v>0.5</v>
      </c>
      <c r="K93" s="8">
        <v>0.8</v>
      </c>
      <c r="L93" s="8">
        <v>0.3</v>
      </c>
      <c r="M93" s="8">
        <v>0.8</v>
      </c>
    </row>
    <row r="94" spans="1:13" ht="54.6" thickBot="1" x14ac:dyDescent="0.35">
      <c r="A94" s="7" t="s">
        <v>210</v>
      </c>
      <c r="B94" s="8" t="s">
        <v>100</v>
      </c>
      <c r="C94" s="8" t="s">
        <v>211</v>
      </c>
      <c r="D94" s="8">
        <v>0.8</v>
      </c>
      <c r="E94" s="8">
        <v>0.9</v>
      </c>
      <c r="F94" s="8">
        <v>0.9</v>
      </c>
      <c r="G94" s="8">
        <v>1</v>
      </c>
      <c r="H94" s="8">
        <v>0.2</v>
      </c>
      <c r="I94" s="8">
        <v>0.1</v>
      </c>
      <c r="J94" s="8">
        <v>0.5</v>
      </c>
      <c r="K94" s="8">
        <v>0.8</v>
      </c>
      <c r="L94" s="8">
        <v>0.3</v>
      </c>
      <c r="M94" s="8">
        <v>0.9</v>
      </c>
    </row>
    <row r="95" spans="1:13" ht="54.6" thickBot="1" x14ac:dyDescent="0.35">
      <c r="A95" s="7" t="s">
        <v>212</v>
      </c>
      <c r="B95" s="8" t="s">
        <v>100</v>
      </c>
      <c r="C95" s="8" t="s">
        <v>213</v>
      </c>
      <c r="D95" s="8">
        <v>0.5</v>
      </c>
      <c r="E95" s="8">
        <v>0.6</v>
      </c>
      <c r="F95" s="8">
        <v>0.6</v>
      </c>
      <c r="G95" s="8">
        <v>0.8</v>
      </c>
      <c r="H95" s="8">
        <v>0.4</v>
      </c>
      <c r="I95" s="8">
        <v>0.3</v>
      </c>
      <c r="J95" s="8">
        <v>0.2</v>
      </c>
      <c r="K95" s="8">
        <v>0.5</v>
      </c>
      <c r="L95" s="8">
        <v>0.1</v>
      </c>
      <c r="M95" s="8">
        <v>0.6</v>
      </c>
    </row>
    <row r="96" spans="1:13" ht="90.6" thickBot="1" x14ac:dyDescent="0.35">
      <c r="A96" s="7" t="s">
        <v>214</v>
      </c>
      <c r="B96" s="8" t="s">
        <v>100</v>
      </c>
      <c r="C96" s="8" t="s">
        <v>215</v>
      </c>
      <c r="D96" s="8">
        <v>0.2</v>
      </c>
      <c r="E96" s="8">
        <v>1</v>
      </c>
      <c r="F96" s="8">
        <v>0.6</v>
      </c>
      <c r="G96" s="8">
        <v>0.4</v>
      </c>
      <c r="H96" s="8">
        <v>0.2</v>
      </c>
      <c r="I96" s="8">
        <v>0.1</v>
      </c>
      <c r="J96" s="8">
        <v>0.1</v>
      </c>
      <c r="K96" s="8">
        <v>0.4</v>
      </c>
      <c r="L96" s="8">
        <v>0.1</v>
      </c>
      <c r="M96" s="8">
        <v>0.5</v>
      </c>
    </row>
    <row r="97" spans="1:13" ht="90.6" thickBot="1" x14ac:dyDescent="0.35">
      <c r="A97" s="7" t="s">
        <v>216</v>
      </c>
      <c r="B97" s="8" t="s">
        <v>100</v>
      </c>
      <c r="C97" s="8" t="s">
        <v>217</v>
      </c>
      <c r="D97" s="8">
        <v>1</v>
      </c>
      <c r="E97" s="8">
        <v>1</v>
      </c>
      <c r="F97" s="8">
        <v>0.9</v>
      </c>
      <c r="G97" s="8">
        <v>1</v>
      </c>
      <c r="H97" s="8">
        <v>1</v>
      </c>
      <c r="I97" s="8">
        <v>0.6</v>
      </c>
      <c r="J97" s="8">
        <v>0.6</v>
      </c>
      <c r="K97" s="8">
        <v>0.8</v>
      </c>
      <c r="L97" s="8">
        <v>0.4</v>
      </c>
      <c r="M97" s="8">
        <v>0.7</v>
      </c>
    </row>
    <row r="98" spans="1:13" ht="72.599999999999994" thickBot="1" x14ac:dyDescent="0.35">
      <c r="A98" s="7" t="s">
        <v>218</v>
      </c>
      <c r="B98" s="8" t="s">
        <v>100</v>
      </c>
      <c r="C98" s="8" t="s">
        <v>219</v>
      </c>
      <c r="D98" s="8">
        <v>0.5</v>
      </c>
      <c r="E98" s="8">
        <v>0.7</v>
      </c>
      <c r="F98" s="8">
        <v>0.6</v>
      </c>
      <c r="G98" s="8">
        <v>0.8</v>
      </c>
      <c r="H98" s="8">
        <v>1</v>
      </c>
      <c r="I98" s="8">
        <v>0.9</v>
      </c>
      <c r="J98" s="8">
        <v>0.6</v>
      </c>
      <c r="K98" s="8">
        <v>0.5</v>
      </c>
      <c r="L98" s="8">
        <v>0.4</v>
      </c>
      <c r="M98" s="8">
        <v>0.4</v>
      </c>
    </row>
    <row r="99" spans="1:13" ht="72.599999999999994" thickBot="1" x14ac:dyDescent="0.35">
      <c r="A99" s="7" t="s">
        <v>220</v>
      </c>
      <c r="B99" s="8" t="s">
        <v>100</v>
      </c>
      <c r="C99" s="8" t="s">
        <v>221</v>
      </c>
      <c r="D99" s="8">
        <v>0.9</v>
      </c>
      <c r="E99" s="8">
        <v>0.9</v>
      </c>
      <c r="F99" s="8">
        <v>0.9</v>
      </c>
      <c r="G99" s="8">
        <v>0.9</v>
      </c>
      <c r="H99" s="8">
        <v>1</v>
      </c>
      <c r="I99" s="8">
        <v>0.7</v>
      </c>
      <c r="J99" s="8">
        <v>0.6</v>
      </c>
      <c r="K99" s="8">
        <v>0.7</v>
      </c>
      <c r="L99" s="8">
        <v>0.4</v>
      </c>
      <c r="M99" s="8">
        <v>0.8</v>
      </c>
    </row>
    <row r="100" spans="1:13" ht="72.599999999999994" thickBot="1" x14ac:dyDescent="0.35">
      <c r="A100" s="7" t="s">
        <v>222</v>
      </c>
      <c r="B100" s="8" t="s">
        <v>100</v>
      </c>
      <c r="C100" s="8" t="s">
        <v>223</v>
      </c>
      <c r="D100" s="8">
        <v>0.4</v>
      </c>
      <c r="E100" s="8">
        <v>0.8</v>
      </c>
      <c r="F100" s="8">
        <v>0.8</v>
      </c>
      <c r="G100" s="8">
        <v>0.7</v>
      </c>
      <c r="H100" s="8">
        <v>0.3</v>
      </c>
      <c r="I100" s="8">
        <v>0.1</v>
      </c>
      <c r="J100" s="8">
        <v>0.3</v>
      </c>
      <c r="K100" s="8">
        <v>0.5</v>
      </c>
      <c r="L100" s="8">
        <v>0.2</v>
      </c>
      <c r="M100" s="8">
        <v>0.6</v>
      </c>
    </row>
    <row r="101" spans="1:13" ht="72" x14ac:dyDescent="0.3">
      <c r="A101" s="9" t="s">
        <v>224</v>
      </c>
      <c r="B101" s="10" t="s">
        <v>100</v>
      </c>
      <c r="C101" s="10" t="s">
        <v>225</v>
      </c>
      <c r="D101" s="10">
        <v>0.7</v>
      </c>
      <c r="E101" s="10">
        <v>0.7</v>
      </c>
      <c r="F101" s="10">
        <v>0.9</v>
      </c>
      <c r="G101" s="10">
        <v>0.8</v>
      </c>
      <c r="H101" s="10">
        <v>0.1</v>
      </c>
      <c r="I101" s="10">
        <v>0.1</v>
      </c>
      <c r="J101" s="10">
        <v>1</v>
      </c>
      <c r="K101" s="10">
        <v>0.9</v>
      </c>
      <c r="L101" s="10">
        <v>0.4</v>
      </c>
      <c r="M101" s="10">
        <v>0.9</v>
      </c>
    </row>
    <row r="102" spans="1:13" ht="18" x14ac:dyDescent="0.3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 spans="1:13" ht="18" x14ac:dyDescent="0.3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 spans="1:13" ht="18" x14ac:dyDescent="0.3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 spans="1:13" ht="18" x14ac:dyDescent="0.3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</row>
    <row r="106" spans="1:13" ht="18" x14ac:dyDescent="0.3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</row>
    <row r="107" spans="1:13" ht="18" x14ac:dyDescent="0.3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</row>
    <row r="108" spans="1:13" ht="18" x14ac:dyDescent="0.3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</row>
    <row r="109" spans="1:13" ht="18" x14ac:dyDescent="0.3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</row>
    <row r="110" spans="1:13" ht="18" x14ac:dyDescent="0.3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</row>
    <row r="111" spans="1:13" ht="18" x14ac:dyDescent="0.3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</row>
    <row r="112" spans="1:13" ht="18" x14ac:dyDescent="0.3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</row>
    <row r="113" spans="1:13" ht="18" x14ac:dyDescent="0.3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</row>
    <row r="114" spans="1:13" ht="18" x14ac:dyDescent="0.3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</row>
    <row r="115" spans="1:13" ht="18" x14ac:dyDescent="0.3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</row>
    <row r="116" spans="1:13" ht="18" x14ac:dyDescent="0.3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</row>
    <row r="117" spans="1:13" ht="18" x14ac:dyDescent="0.3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</row>
    <row r="118" spans="1:13" ht="18" x14ac:dyDescent="0.3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</row>
    <row r="119" spans="1:13" ht="18" x14ac:dyDescent="0.3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</row>
    <row r="120" spans="1:13" ht="18" x14ac:dyDescent="0.3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</row>
    <row r="121" spans="1:13" ht="18" x14ac:dyDescent="0.3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</row>
    <row r="122" spans="1:13" ht="18" x14ac:dyDescent="0.3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</row>
    <row r="123" spans="1:13" ht="18" x14ac:dyDescent="0.3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</row>
    <row r="124" spans="1:13" ht="18" x14ac:dyDescent="0.3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773D-54E4-452A-872A-FEB0F780EA44}">
  <dimension ref="A1:W150"/>
  <sheetViews>
    <sheetView tabSelected="1" topLeftCell="A104" zoomScale="71" zoomScaleNormal="71" workbookViewId="0">
      <selection activeCell="K125" sqref="K125"/>
    </sheetView>
  </sheetViews>
  <sheetFormatPr defaultRowHeight="14.4" x14ac:dyDescent="0.3"/>
  <cols>
    <col min="1" max="1" width="18.44140625" customWidth="1"/>
    <col min="2" max="2" width="46.21875" customWidth="1"/>
    <col min="3" max="3" width="22.77734375" customWidth="1"/>
    <col min="4" max="4" width="25.77734375" customWidth="1"/>
    <col min="5" max="5" width="16.88671875" customWidth="1"/>
    <col min="6" max="6" width="15" customWidth="1"/>
    <col min="7" max="7" width="13.88671875" customWidth="1"/>
    <col min="8" max="8" width="15.33203125" customWidth="1"/>
    <col min="9" max="9" width="14" customWidth="1"/>
    <col min="10" max="10" width="12.5546875" customWidth="1"/>
    <col min="11" max="11" width="15.33203125" customWidth="1"/>
    <col min="12" max="12" width="17.109375" customWidth="1"/>
    <col min="13" max="13" width="19.21875" customWidth="1"/>
    <col min="14" max="14" width="18.109375" customWidth="1"/>
    <col min="15" max="15" width="10.109375" customWidth="1"/>
  </cols>
  <sheetData>
    <row r="1" spans="1:23" ht="57" customHeight="1" thickBot="1" x14ac:dyDescent="0.35">
      <c r="A1" s="4" t="s">
        <v>0</v>
      </c>
      <c r="B1" s="4" t="s">
        <v>2</v>
      </c>
      <c r="C1" s="4" t="s">
        <v>118</v>
      </c>
      <c r="D1" s="4" t="s">
        <v>122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1"/>
      <c r="P1" s="1"/>
      <c r="Q1" s="1"/>
      <c r="R1" s="1"/>
      <c r="S1" s="1"/>
      <c r="T1" s="1"/>
      <c r="U1" s="3"/>
      <c r="V1" s="3"/>
      <c r="W1" s="3"/>
    </row>
    <row r="2" spans="1:23" ht="63.6" customHeight="1" thickBot="1" x14ac:dyDescent="0.35">
      <c r="A2" s="5" t="s">
        <v>13</v>
      </c>
      <c r="B2" s="6" t="str">
        <f>VLOOKUP(A2, Platform_DB!$A:$H, 3, FALSE)</f>
        <v xml:space="preserve">Require fully managed SaaS to eliminate infra maintenance?
</v>
      </c>
      <c r="C2" s="6" t="s">
        <v>120</v>
      </c>
      <c r="D2" s="6" cm="1">
        <f t="array" ref="D2">_xlfn.SWITCH(C2,"Critical",4,"High",2.5,"Medium",1,"Not Needed", 0)</f>
        <v>1</v>
      </c>
      <c r="E2" s="6">
        <f>D2 * VLOOKUP($A2, Platform_DB!$A:$M, 4, FALSE)</f>
        <v>1</v>
      </c>
      <c r="F2" s="6">
        <f>D2 * VLOOKUP($A2, Platform_DB!$A:$M, 5, FALSE)</f>
        <v>0.9</v>
      </c>
      <c r="G2" s="6">
        <f>D2 * VLOOKUP($A2, Platform_DB!$A:$M, 6, FALSE)</f>
        <v>0.9</v>
      </c>
      <c r="H2" s="6">
        <f>D2 * VLOOKUP($A2, Platform_DB!$A:$M, 7, FALSE)</f>
        <v>0.9</v>
      </c>
      <c r="I2" s="6">
        <f>D2 * VLOOKUP($A2, Platform_DB!$A:$M, 8, FALSE)</f>
        <v>0.4</v>
      </c>
      <c r="J2" s="6">
        <f>D2 * VLOOKUP($A2, Platform_DB!$A:$M, 9, FALSE)</f>
        <v>0.1</v>
      </c>
      <c r="K2" s="6">
        <f>D2 * VLOOKUP($A2, Platform_DB!$A:$M, 10, FALSE)</f>
        <v>0.3</v>
      </c>
      <c r="L2" s="6">
        <f>D2 * VLOOKUP($A2, Platform_DB!$A:$M, 11, FALSE)</f>
        <v>0.8</v>
      </c>
      <c r="M2" s="6">
        <f>D2 * VLOOKUP($A2, Platform_DB!$A:$M, 12, FALSE)</f>
        <v>1</v>
      </c>
      <c r="N2" s="6">
        <f>D2 * VLOOKUP($A2, Platform_DB!$A:$M, 13, FALSE)</f>
        <v>0.8</v>
      </c>
      <c r="O2" s="1"/>
      <c r="P2" s="1"/>
      <c r="Q2" s="1"/>
      <c r="R2" s="1"/>
      <c r="S2" s="1"/>
      <c r="T2" s="1"/>
      <c r="U2" s="3"/>
      <c r="V2" s="3"/>
      <c r="W2" s="3"/>
    </row>
    <row r="3" spans="1:23" ht="36.6" thickBot="1" x14ac:dyDescent="0.35">
      <c r="A3" s="5" t="s">
        <v>15</v>
      </c>
      <c r="B3" s="6" t="str">
        <f>VLOOKUP(A3, Platform_DB!$A:$H, 3, FALSE)</f>
        <v>Require multi-cloud availability (AWS, Azure, and GCP)?</v>
      </c>
      <c r="C3" s="6" t="s">
        <v>121</v>
      </c>
      <c r="D3" s="6" cm="1">
        <f t="array" ref="D3">_xlfn.SWITCH(C3,"Critical",4,"High",2.5,"Medium",1,"Not Needed", 0)</f>
        <v>2.5</v>
      </c>
      <c r="E3" s="6">
        <f>D3 * VLOOKUP($A3, Platform_DB!$A:$M, 4, FALSE)</f>
        <v>2.5</v>
      </c>
      <c r="F3" s="6">
        <f>D3 * VLOOKUP($A3, Platform_DB!$A:$M, 5, FALSE)</f>
        <v>2.25</v>
      </c>
      <c r="G3" s="6">
        <f>D3 * VLOOKUP($A3, Platform_DB!$A:$M, 6, FALSE)</f>
        <v>2.25</v>
      </c>
      <c r="H3" s="6">
        <f>D3 * VLOOKUP($A3, Platform_DB!$A:$M, 7, FALSE)</f>
        <v>2.25</v>
      </c>
      <c r="I3" s="6">
        <f>D3 * VLOOKUP($A3, Platform_DB!$A:$M, 8, FALSE)</f>
        <v>0.25</v>
      </c>
      <c r="J3" s="6">
        <f>D3 * VLOOKUP($A3, Platform_DB!$A:$M, 9, FALSE)</f>
        <v>0.25</v>
      </c>
      <c r="K3" s="6">
        <f>D3 * VLOOKUP($A3, Platform_DB!$A:$M, 10, FALSE)</f>
        <v>1.5</v>
      </c>
      <c r="L3" s="6">
        <f>D3 * VLOOKUP($A3, Platform_DB!$A:$M, 11, FALSE)</f>
        <v>2.5</v>
      </c>
      <c r="M3" s="6">
        <f>D3 * VLOOKUP($A3, Platform_DB!$A:$M, 12, FALSE)</f>
        <v>1</v>
      </c>
      <c r="N3" s="6">
        <f>D3 * VLOOKUP($A3, Platform_DB!$A:$M, 13, FALSE)</f>
        <v>2</v>
      </c>
      <c r="O3" s="1"/>
      <c r="P3" s="1"/>
      <c r="Q3" s="1"/>
      <c r="R3" s="1"/>
      <c r="S3" s="1"/>
      <c r="T3" s="1"/>
      <c r="U3" s="3"/>
      <c r="V3" s="3"/>
      <c r="W3" s="3"/>
    </row>
    <row r="4" spans="1:23" ht="36.6" thickBot="1" x14ac:dyDescent="0.35">
      <c r="A4" s="5" t="s">
        <v>17</v>
      </c>
      <c r="B4" s="6" t="str">
        <f>VLOOKUP(A4, Platform_DB!$A:$H, 3, FALSE)</f>
        <v>Need embedded, local-first database for offline or edge apps?</v>
      </c>
      <c r="C4" s="6" t="s">
        <v>123</v>
      </c>
      <c r="D4" s="6" cm="1">
        <f t="array" ref="D4">_xlfn.SWITCH(C4,"Critical",4,"High",2.5,"Medium",1,"Not Needed", 0)</f>
        <v>4</v>
      </c>
      <c r="E4" s="6">
        <f>D4 * VLOOKUP($A4, Platform_DB!$A:$M, 4, FALSE)</f>
        <v>0.4</v>
      </c>
      <c r="F4" s="6">
        <f>D4 * VLOOKUP($A4, Platform_DB!$A:$M, 5, FALSE)</f>
        <v>0.4</v>
      </c>
      <c r="G4" s="6">
        <f>D4 * VLOOKUP($A4, Platform_DB!$A:$M, 6, FALSE)</f>
        <v>0.4</v>
      </c>
      <c r="H4" s="6">
        <f>D4 * VLOOKUP($A4, Platform_DB!$A:$M, 7, FALSE)</f>
        <v>0.4</v>
      </c>
      <c r="I4" s="6">
        <f>D4 * VLOOKUP($A4, Platform_DB!$A:$M, 8, FALSE)</f>
        <v>4</v>
      </c>
      <c r="J4" s="6">
        <f>D4 * VLOOKUP($A4, Platform_DB!$A:$M, 9, FALSE)</f>
        <v>3.6</v>
      </c>
      <c r="K4" s="6">
        <f>D4 * VLOOKUP($A4, Platform_DB!$A:$M, 10, FALSE)</f>
        <v>0.8</v>
      </c>
      <c r="L4" s="6">
        <f>D4 * VLOOKUP($A4, Platform_DB!$A:$M, 11, FALSE)</f>
        <v>0.4</v>
      </c>
      <c r="M4" s="6">
        <f>D4 * VLOOKUP($A4, Platform_DB!$A:$M, 12, FALSE)</f>
        <v>0.4</v>
      </c>
      <c r="N4" s="6">
        <f>D4 * VLOOKUP($A4, Platform_DB!$A:$M, 13, FALSE)</f>
        <v>0.4</v>
      </c>
      <c r="O4" s="1"/>
      <c r="P4" s="1"/>
      <c r="Q4" s="1"/>
      <c r="R4" s="1"/>
      <c r="S4" s="1"/>
      <c r="T4" s="1"/>
      <c r="U4" s="3"/>
      <c r="V4" s="3"/>
      <c r="W4" s="3"/>
    </row>
    <row r="5" spans="1:23" ht="36.6" thickBot="1" x14ac:dyDescent="0.35">
      <c r="A5" s="5" t="s">
        <v>19</v>
      </c>
      <c r="B5" s="6" t="str">
        <f>VLOOKUP(A5, Platform_DB!$A:$H, 3, FALSE)</f>
        <v>Need low-cost serverless architecture to avoid paying for idle?</v>
      </c>
      <c r="C5" s="6" t="s">
        <v>124</v>
      </c>
      <c r="D5" s="6" cm="1">
        <f t="array" ref="D5">_xlfn.SWITCH(C5,"Critical",4,"High",2.5,"Medium",1,"Not Needed", 0)</f>
        <v>0</v>
      </c>
      <c r="E5" s="6">
        <f>D5 * VLOOKUP($A5, Platform_DB!$A:$M, 4, FALSE)</f>
        <v>0</v>
      </c>
      <c r="F5" s="6">
        <f>D5 * VLOOKUP($A5, Platform_DB!$A:$M, 5, FALSE)</f>
        <v>0</v>
      </c>
      <c r="G5" s="6">
        <f>D5 * VLOOKUP($A5, Platform_DB!$A:$M, 6, FALSE)</f>
        <v>0</v>
      </c>
      <c r="H5" s="6">
        <f>D5 * VLOOKUP($A5, Platform_DB!$A:$M, 7, FALSE)</f>
        <v>0</v>
      </c>
      <c r="I5" s="6">
        <f>D5 * VLOOKUP($A5, Platform_DB!$A:$M, 8, FALSE)</f>
        <v>0</v>
      </c>
      <c r="J5" s="6">
        <f>D5 * VLOOKUP($A5, Platform_DB!$A:$M, 9, FALSE)</f>
        <v>0</v>
      </c>
      <c r="K5" s="6">
        <f>D5 * VLOOKUP($A5, Platform_DB!$A:$M, 10, FALSE)</f>
        <v>0</v>
      </c>
      <c r="L5" s="6">
        <f>D5 * VLOOKUP($A5, Platform_DB!$A:$M, 11, FALSE)</f>
        <v>0</v>
      </c>
      <c r="M5" s="6">
        <f>D5 * VLOOKUP($A5, Platform_DB!$A:$M, 12, FALSE)</f>
        <v>0</v>
      </c>
      <c r="N5" s="6">
        <f>D5 * VLOOKUP($A5, Platform_DB!$A:$M, 13, FALSE)</f>
        <v>0</v>
      </c>
      <c r="O5" s="1"/>
      <c r="P5" s="1"/>
      <c r="Q5" s="1"/>
      <c r="R5" s="1"/>
      <c r="S5" s="1"/>
      <c r="T5" s="1"/>
      <c r="U5" s="3"/>
      <c r="V5" s="3"/>
      <c r="W5" s="3"/>
    </row>
    <row r="6" spans="1:23" ht="36.6" thickBot="1" x14ac:dyDescent="0.35">
      <c r="A6" s="5" t="s">
        <v>21</v>
      </c>
      <c r="B6" s="6" t="str">
        <f>VLOOKUP(A6, Platform_DB!$A:$H, 3, FALSE)</f>
        <v>Require 100% open-source core code for independence?</v>
      </c>
      <c r="C6" s="6" t="s">
        <v>120</v>
      </c>
      <c r="D6" s="6" cm="1">
        <f t="array" ref="D6">_xlfn.SWITCH(C6,"Critical",4,"High",2.5,"Medium",1,"Not Needed", 0)</f>
        <v>1</v>
      </c>
      <c r="E6" s="6">
        <f>D6 * VLOOKUP($A6, Platform_DB!$A:$M, 4, FALSE)</f>
        <v>0.1</v>
      </c>
      <c r="F6" s="6">
        <f>D6 * VLOOKUP($A6, Platform_DB!$A:$M, 5, FALSE)</f>
        <v>1</v>
      </c>
      <c r="G6" s="6">
        <f>D6 * VLOOKUP($A6, Platform_DB!$A:$M, 6, FALSE)</f>
        <v>1</v>
      </c>
      <c r="H6" s="6">
        <f>D6 * VLOOKUP($A6, Platform_DB!$A:$M, 7, FALSE)</f>
        <v>1</v>
      </c>
      <c r="I6" s="6">
        <f>D6 * VLOOKUP($A6, Platform_DB!$A:$M, 8, FALSE)</f>
        <v>1</v>
      </c>
      <c r="J6" s="6">
        <f>D6 * VLOOKUP($A6, Platform_DB!$A:$M, 9, FALSE)</f>
        <v>1</v>
      </c>
      <c r="K6" s="6">
        <f>D6 * VLOOKUP($A6, Platform_DB!$A:$M, 10, FALSE)</f>
        <v>1</v>
      </c>
      <c r="L6" s="6">
        <f>D6 * VLOOKUP($A6, Platform_DB!$A:$M, 11, FALSE)</f>
        <v>0.2</v>
      </c>
      <c r="M6" s="6">
        <f>D6 * VLOOKUP($A6, Platform_DB!$A:$M, 12, FALSE)</f>
        <v>0.1</v>
      </c>
      <c r="N6" s="6">
        <f>D6 * VLOOKUP($A6, Platform_DB!$A:$M, 13, FALSE)</f>
        <v>1</v>
      </c>
      <c r="O6" s="1"/>
      <c r="P6" s="1"/>
      <c r="Q6" s="1"/>
      <c r="R6" s="1"/>
      <c r="S6" s="1"/>
      <c r="T6" s="1"/>
      <c r="U6" s="3"/>
      <c r="V6" s="3"/>
      <c r="W6" s="3"/>
    </row>
    <row r="7" spans="1:23" ht="36.6" thickBot="1" x14ac:dyDescent="0.35">
      <c r="A7" s="5" t="s">
        <v>23</v>
      </c>
      <c r="B7" s="6" t="str">
        <f>VLOOKUP(A7, Platform_DB!$A:$H, 3, FALSE)</f>
        <v>Running system strictly self-hosted inside air-gapped network?</v>
      </c>
      <c r="C7" s="6" t="s">
        <v>123</v>
      </c>
      <c r="D7" s="6" cm="1">
        <f t="array" ref="D7">_xlfn.SWITCH(C7,"Critical",4,"High",2.5,"Medium",1,"Not Needed", 0)</f>
        <v>4</v>
      </c>
      <c r="E7" s="6">
        <f>D7 * VLOOKUP($A7, Platform_DB!$A:$M, 4, FALSE)</f>
        <v>0.4</v>
      </c>
      <c r="F7" s="6">
        <f>D7 * VLOOKUP($A7, Platform_DB!$A:$M, 5, FALSE)</f>
        <v>4</v>
      </c>
      <c r="G7" s="6">
        <f>D7 * VLOOKUP($A7, Platform_DB!$A:$M, 6, FALSE)</f>
        <v>4</v>
      </c>
      <c r="H7" s="6">
        <f>D7 * VLOOKUP($A7, Platform_DB!$A:$M, 7, FALSE)</f>
        <v>4</v>
      </c>
      <c r="I7" s="6">
        <f>D7 * VLOOKUP($A7, Platform_DB!$A:$M, 8, FALSE)</f>
        <v>3.2</v>
      </c>
      <c r="J7" s="6">
        <f>D7 * VLOOKUP($A7, Platform_DB!$A:$M, 9, FALSE)</f>
        <v>3.6</v>
      </c>
      <c r="K7" s="6">
        <f>D7 * VLOOKUP($A7, Platform_DB!$A:$M, 10, FALSE)</f>
        <v>4</v>
      </c>
      <c r="L7" s="6">
        <f>D7 * VLOOKUP($A7, Platform_DB!$A:$M, 11, FALSE)</f>
        <v>2</v>
      </c>
      <c r="M7" s="6">
        <f>D7 * VLOOKUP($A7, Platform_DB!$A:$M, 12, FALSE)</f>
        <v>0.4</v>
      </c>
      <c r="N7" s="6">
        <f>D7 * VLOOKUP($A7, Platform_DB!$A:$M, 13, FALSE)</f>
        <v>4</v>
      </c>
      <c r="O7" s="1"/>
      <c r="P7" s="1"/>
      <c r="Q7" s="1"/>
      <c r="R7" s="1"/>
      <c r="S7" s="1"/>
      <c r="T7" s="1"/>
      <c r="U7" s="3"/>
      <c r="V7" s="3"/>
      <c r="W7" s="3"/>
    </row>
    <row r="8" spans="1:23" ht="36.6" thickBot="1" x14ac:dyDescent="0.35">
      <c r="A8" s="5" t="s">
        <v>25</v>
      </c>
      <c r="B8" s="6" t="str">
        <f>VLOOKUP(A8, Platform_DB!$A:$H, 3, FALSE)</f>
        <v>Require Enterprise SLAs, SOC2, and 24/7 dedicated support?</v>
      </c>
      <c r="C8" s="6" t="s">
        <v>121</v>
      </c>
      <c r="D8" s="6" cm="1">
        <f t="array" ref="D8">_xlfn.SWITCH(C8,"Critical",4,"High",2.5,"Medium",1,"Not Needed", 0)</f>
        <v>2.5</v>
      </c>
      <c r="E8" s="6">
        <f>D8 * VLOOKUP($A8, Platform_DB!$A:$M, 4, FALSE)</f>
        <v>2.5</v>
      </c>
      <c r="F8" s="6">
        <f>D8 * VLOOKUP($A8, Platform_DB!$A:$M, 5, FALSE)</f>
        <v>2.25</v>
      </c>
      <c r="G8" s="6">
        <f>D8 * VLOOKUP($A8, Platform_DB!$A:$M, 6, FALSE)</f>
        <v>2.25</v>
      </c>
      <c r="H8" s="6">
        <f>D8 * VLOOKUP($A8, Platform_DB!$A:$M, 7, FALSE)</f>
        <v>2.25</v>
      </c>
      <c r="I8" s="6">
        <f>D8 * VLOOKUP($A8, Platform_DB!$A:$M, 8, FALSE)</f>
        <v>0.75</v>
      </c>
      <c r="J8" s="6">
        <f>D8 * VLOOKUP($A8, Platform_DB!$A:$M, 9, FALSE)</f>
        <v>0.25</v>
      </c>
      <c r="K8" s="6">
        <f>D8 * VLOOKUP($A8, Platform_DB!$A:$M, 10, FALSE)</f>
        <v>1.25</v>
      </c>
      <c r="L8" s="6">
        <f>D8 * VLOOKUP($A8, Platform_DB!$A:$M, 11, FALSE)</f>
        <v>2.5</v>
      </c>
      <c r="M8" s="6">
        <f>D8 * VLOOKUP($A8, Platform_DB!$A:$M, 12, FALSE)</f>
        <v>1.75</v>
      </c>
      <c r="N8" s="6">
        <f>D8 * VLOOKUP($A8, Platform_DB!$A:$M, 13, FALSE)</f>
        <v>2.25</v>
      </c>
      <c r="O8" s="1"/>
      <c r="P8" s="1"/>
      <c r="Q8" s="1"/>
      <c r="R8" s="1"/>
      <c r="S8" s="1"/>
      <c r="T8" s="1"/>
      <c r="U8" s="3"/>
      <c r="V8" s="3"/>
      <c r="W8" s="3"/>
    </row>
    <row r="9" spans="1:23" ht="36.6" thickBot="1" x14ac:dyDescent="0.35">
      <c r="A9" s="5" t="s">
        <v>27</v>
      </c>
      <c r="B9" s="6" t="str">
        <f>VLOOKUP(A9, Platform_DB!$A:$H, 3, FALSE)</f>
        <v>Need multi-region replication for global low latency?</v>
      </c>
      <c r="C9" s="6" t="s">
        <v>120</v>
      </c>
      <c r="D9" s="6" cm="1">
        <f t="array" ref="D9">_xlfn.SWITCH(C9,"Critical",4,"High",2.5,"Medium",1,"Not Needed", 0)</f>
        <v>1</v>
      </c>
      <c r="E9" s="6">
        <f>D9 * VLOOKUP($A9, Platform_DB!$A:$M, 4, FALSE)</f>
        <v>0.9</v>
      </c>
      <c r="F9" s="6">
        <f>D9 * VLOOKUP($A9, Platform_DB!$A:$M, 5, FALSE)</f>
        <v>0.7</v>
      </c>
      <c r="G9" s="6">
        <f>D9 * VLOOKUP($A9, Platform_DB!$A:$M, 6, FALSE)</f>
        <v>0.8</v>
      </c>
      <c r="H9" s="6">
        <f>D9 * VLOOKUP($A9, Platform_DB!$A:$M, 7, FALSE)</f>
        <v>0.8</v>
      </c>
      <c r="I9" s="6">
        <f>D9 * VLOOKUP($A9, Platform_DB!$A:$M, 8, FALSE)</f>
        <v>0.1</v>
      </c>
      <c r="J9" s="6">
        <f>D9 * VLOOKUP($A9, Platform_DB!$A:$M, 9, FALSE)</f>
        <v>0.1</v>
      </c>
      <c r="K9" s="6">
        <f>D9 * VLOOKUP($A9, Platform_DB!$A:$M, 10, FALSE)</f>
        <v>0.6</v>
      </c>
      <c r="L9" s="6">
        <f>D9 * VLOOKUP($A9, Platform_DB!$A:$M, 11, FALSE)</f>
        <v>1</v>
      </c>
      <c r="M9" s="6">
        <f>D9 * VLOOKUP($A9, Platform_DB!$A:$M, 12, FALSE)</f>
        <v>0.4</v>
      </c>
      <c r="N9" s="6">
        <f>D9 * VLOOKUP($A9, Platform_DB!$A:$M, 13, FALSE)</f>
        <v>0.8</v>
      </c>
      <c r="O9" s="1"/>
      <c r="P9" s="1"/>
      <c r="Q9" s="1"/>
      <c r="R9" s="1"/>
      <c r="S9" s="1"/>
      <c r="T9" s="1"/>
      <c r="U9" s="3"/>
      <c r="V9" s="3"/>
      <c r="W9" s="3"/>
    </row>
    <row r="10" spans="1:23" ht="36.6" thickBot="1" x14ac:dyDescent="0.35">
      <c r="A10" s="5" t="s">
        <v>29</v>
      </c>
      <c r="B10" s="6" t="str">
        <f>VLOOKUP(A10, Platform_DB!$A:$H, 3, FALSE)</f>
        <v>Keeping raw infrastructure monthly spend at bare minimum?</v>
      </c>
      <c r="C10" s="6" t="s">
        <v>121</v>
      </c>
      <c r="D10" s="6" cm="1">
        <f t="array" ref="D10">_xlfn.SWITCH(C10,"Critical",4,"High",2.5,"Medium",1,"Not Needed", 0)</f>
        <v>2.5</v>
      </c>
      <c r="E10" s="6">
        <f>D10 * VLOOKUP($A10, Platform_DB!$A:$M, 4, FALSE)</f>
        <v>0.5</v>
      </c>
      <c r="F10" s="6">
        <f>D10 * VLOOKUP($A10, Platform_DB!$A:$M, 5, FALSE)</f>
        <v>1</v>
      </c>
      <c r="G10" s="6">
        <f>D10 * VLOOKUP($A10, Platform_DB!$A:$M, 6, FALSE)</f>
        <v>1</v>
      </c>
      <c r="H10" s="6">
        <f>D10 * VLOOKUP($A10, Platform_DB!$A:$M, 7, FALSE)</f>
        <v>1.25</v>
      </c>
      <c r="I10" s="6">
        <f>D10 * VLOOKUP($A10, Platform_DB!$A:$M, 8, FALSE)</f>
        <v>2</v>
      </c>
      <c r="J10" s="6">
        <f>D10 * VLOOKUP($A10, Platform_DB!$A:$M, 9, FALSE)</f>
        <v>2.25</v>
      </c>
      <c r="K10" s="6">
        <f>D10 * VLOOKUP($A10, Platform_DB!$A:$M, 10, FALSE)</f>
        <v>1.5</v>
      </c>
      <c r="L10" s="6">
        <f>D10 * VLOOKUP($A10, Platform_DB!$A:$M, 11, FALSE)</f>
        <v>0.75</v>
      </c>
      <c r="M10" s="6">
        <f>D10 * VLOOKUP($A10, Platform_DB!$A:$M, 12, FALSE)</f>
        <v>2.5</v>
      </c>
      <c r="N10" s="6">
        <f>D10 * VLOOKUP($A10, Platform_DB!$A:$M, 13, FALSE)</f>
        <v>1</v>
      </c>
      <c r="O10" s="1"/>
      <c r="P10" s="1"/>
      <c r="Q10" s="1"/>
      <c r="R10" s="1"/>
      <c r="S10" s="1"/>
      <c r="T10" s="1"/>
      <c r="U10" s="3"/>
      <c r="V10" s="3"/>
      <c r="W10" s="3"/>
    </row>
    <row r="11" spans="1:23" ht="36.6" thickBot="1" x14ac:dyDescent="0.35">
      <c r="A11" s="5" t="s">
        <v>31</v>
      </c>
      <c r="B11" s="6" t="str">
        <f>VLOOKUP(A11, Platform_DB!$A:$H, 3, FALSE)</f>
        <v>Require native, isolated multi-tenancy at cluster layer?</v>
      </c>
      <c r="C11" s="6" t="s">
        <v>121</v>
      </c>
      <c r="D11" s="6" cm="1">
        <f t="array" ref="D11">_xlfn.SWITCH(C11,"Critical",4,"High",2.5,"Medium",1,"Not Needed", 0)</f>
        <v>2.5</v>
      </c>
      <c r="E11" s="6">
        <f>D11 * VLOOKUP($A11, Platform_DB!$A:$M, 4, FALSE)</f>
        <v>2</v>
      </c>
      <c r="F11" s="6">
        <f>D11 * VLOOKUP($A11, Platform_DB!$A:$M, 5, FALSE)</f>
        <v>2.5</v>
      </c>
      <c r="G11" s="6">
        <f>D11 * VLOOKUP($A11, Platform_DB!$A:$M, 6, FALSE)</f>
        <v>2.5</v>
      </c>
      <c r="H11" s="6">
        <f>D11 * VLOOKUP($A11, Platform_DB!$A:$M, 7, FALSE)</f>
        <v>2.5</v>
      </c>
      <c r="I11" s="6">
        <f>D11 * VLOOKUP($A11, Platform_DB!$A:$M, 8, FALSE)</f>
        <v>0.5</v>
      </c>
      <c r="J11" s="6">
        <f>D11 * VLOOKUP($A11, Platform_DB!$A:$M, 9, FALSE)</f>
        <v>0.25</v>
      </c>
      <c r="K11" s="6">
        <f>D11 * VLOOKUP($A11, Platform_DB!$A:$M, 10, FALSE)</f>
        <v>1.5</v>
      </c>
      <c r="L11" s="6">
        <f>D11 * VLOOKUP($A11, Platform_DB!$A:$M, 11, FALSE)</f>
        <v>1.75</v>
      </c>
      <c r="M11" s="6">
        <f>D11 * VLOOKUP($A11, Platform_DB!$A:$M, 12, FALSE)</f>
        <v>0.75</v>
      </c>
      <c r="N11" s="6">
        <f>D11 * VLOOKUP($A11, Platform_DB!$A:$M, 13, FALSE)</f>
        <v>2.25</v>
      </c>
      <c r="O11" s="1"/>
      <c r="P11" s="1"/>
      <c r="Q11" s="1"/>
      <c r="R11" s="1"/>
      <c r="S11" s="1"/>
      <c r="T11" s="1"/>
      <c r="U11" s="3"/>
      <c r="V11" s="3"/>
      <c r="W11" s="3"/>
    </row>
    <row r="12" spans="1:23" ht="36.6" thickBot="1" x14ac:dyDescent="0.35">
      <c r="A12" s="5" t="s">
        <v>33</v>
      </c>
      <c r="B12" s="6" t="str">
        <f>VLOOKUP(A12, Platform_DB!$A:$H, 3, FALSE)</f>
        <v>Highly optimized native Python SDK primary tool interface?</v>
      </c>
      <c r="C12" s="6" t="s">
        <v>124</v>
      </c>
      <c r="D12" s="6" cm="1">
        <f t="array" ref="D12">_xlfn.SWITCH(C12,"Critical",4,"High",2.5,"Medium",1,"Not Needed", 0)</f>
        <v>0</v>
      </c>
      <c r="E12" s="6">
        <f>D12 * VLOOKUP($A12, Platform_DB!$A:$M, 4, FALSE)</f>
        <v>0</v>
      </c>
      <c r="F12" s="6">
        <f>D12 * VLOOKUP($A12, Platform_DB!$A:$M, 5, FALSE)</f>
        <v>0</v>
      </c>
      <c r="G12" s="6">
        <f>D12 * VLOOKUP($A12, Platform_DB!$A:$M, 6, FALSE)</f>
        <v>0</v>
      </c>
      <c r="H12" s="6">
        <f>D12 * VLOOKUP($A12, Platform_DB!$A:$M, 7, FALSE)</f>
        <v>0</v>
      </c>
      <c r="I12" s="6">
        <f>D12 * VLOOKUP($A12, Platform_DB!$A:$M, 8, FALSE)</f>
        <v>0</v>
      </c>
      <c r="J12" s="6">
        <f>D12 * VLOOKUP($A12, Platform_DB!$A:$M, 9, FALSE)</f>
        <v>0</v>
      </c>
      <c r="K12" s="6">
        <f>D12 * VLOOKUP($A12, Platform_DB!$A:$M, 10, FALSE)</f>
        <v>0</v>
      </c>
      <c r="L12" s="6">
        <f>D12 * VLOOKUP($A12, Platform_DB!$A:$M, 11, FALSE)</f>
        <v>0</v>
      </c>
      <c r="M12" s="6">
        <f>D12 * VLOOKUP($A12, Platform_DB!$A:$M, 12, FALSE)</f>
        <v>0</v>
      </c>
      <c r="N12" s="6">
        <f>D12 * VLOOKUP($A12, Platform_DB!$A:$M, 13, FALSE)</f>
        <v>0</v>
      </c>
      <c r="O12" s="1"/>
      <c r="P12" s="1"/>
      <c r="Q12" s="1"/>
      <c r="R12" s="1"/>
      <c r="S12" s="1"/>
      <c r="T12" s="1"/>
      <c r="U12" s="3"/>
      <c r="V12" s="3"/>
      <c r="W12" s="3"/>
    </row>
    <row r="13" spans="1:23" ht="36.6" thickBot="1" x14ac:dyDescent="0.35">
      <c r="A13" s="5" t="s">
        <v>36</v>
      </c>
      <c r="B13" s="6" t="str">
        <f>VLOOKUP(A13, Platform_DB!$A:$H, 3, FALSE)</f>
        <v>Top-tier JS/TypeScript SDK support for Node/Next.js apps?</v>
      </c>
      <c r="C13" s="6" t="s">
        <v>123</v>
      </c>
      <c r="D13" s="6" cm="1">
        <f t="array" ref="D13">_xlfn.SWITCH(C13,"Critical",4,"High",2.5,"Medium",1,"Not Needed", 0)</f>
        <v>4</v>
      </c>
      <c r="E13" s="6">
        <f>D13 * VLOOKUP($A13, Platform_DB!$A:$M, 4, FALSE)</f>
        <v>4</v>
      </c>
      <c r="F13" s="6">
        <f>D13 * VLOOKUP($A13, Platform_DB!$A:$M, 5, FALSE)</f>
        <v>4</v>
      </c>
      <c r="G13" s="6">
        <f>D13 * VLOOKUP($A13, Platform_DB!$A:$M, 6, FALSE)</f>
        <v>3.6</v>
      </c>
      <c r="H13" s="6">
        <f>D13 * VLOOKUP($A13, Platform_DB!$A:$M, 7, FALSE)</f>
        <v>4</v>
      </c>
      <c r="I13" s="6">
        <f>D13 * VLOOKUP($A13, Platform_DB!$A:$M, 8, FALSE)</f>
        <v>3.6</v>
      </c>
      <c r="J13" s="6">
        <f>D13 * VLOOKUP($A13, Platform_DB!$A:$M, 9, FALSE)</f>
        <v>1.2</v>
      </c>
      <c r="K13" s="6">
        <f>D13 * VLOOKUP($A13, Platform_DB!$A:$M, 10, FALSE)</f>
        <v>2.8</v>
      </c>
      <c r="L13" s="6">
        <f>D13 * VLOOKUP($A13, Platform_DB!$A:$M, 11, FALSE)</f>
        <v>3.6</v>
      </c>
      <c r="M13" s="6">
        <f>D13 * VLOOKUP($A13, Platform_DB!$A:$M, 12, FALSE)</f>
        <v>3.2</v>
      </c>
      <c r="N13" s="6">
        <f>D13 * VLOOKUP($A13, Platform_DB!$A:$M, 13, FALSE)</f>
        <v>3.2</v>
      </c>
      <c r="O13" s="1"/>
      <c r="P13" s="1"/>
      <c r="Q13" s="1"/>
      <c r="R13" s="1"/>
      <c r="S13" s="1"/>
      <c r="T13" s="1"/>
      <c r="U13" s="3"/>
      <c r="V13" s="3"/>
      <c r="W13" s="3"/>
    </row>
    <row r="14" spans="1:23" ht="36.6" thickBot="1" x14ac:dyDescent="0.35">
      <c r="A14" s="5" t="s">
        <v>38</v>
      </c>
      <c r="B14" s="6" t="str">
        <f>VLOOKUP(A14, Platform_DB!$A:$H, 3, FALSE)</f>
        <v>Backend infrastructure requires robust native Go SDKs?</v>
      </c>
      <c r="C14" s="6" t="s">
        <v>123</v>
      </c>
      <c r="D14" s="6" cm="1">
        <f t="array" ref="D14">_xlfn.SWITCH(C14,"Critical",4,"High",2.5,"Medium",1,"Not Needed", 0)</f>
        <v>4</v>
      </c>
      <c r="E14" s="6">
        <f>D14 * VLOOKUP($A14, Platform_DB!$A:$M, 4, FALSE)</f>
        <v>3.2</v>
      </c>
      <c r="F14" s="6">
        <f>D14 * VLOOKUP($A14, Platform_DB!$A:$M, 5, FALSE)</f>
        <v>4</v>
      </c>
      <c r="G14" s="6">
        <f>D14 * VLOOKUP($A14, Platform_DB!$A:$M, 6, FALSE)</f>
        <v>4</v>
      </c>
      <c r="H14" s="6">
        <f>D14 * VLOOKUP($A14, Platform_DB!$A:$M, 7, FALSE)</f>
        <v>4</v>
      </c>
      <c r="I14" s="6">
        <f>D14 * VLOOKUP($A14, Platform_DB!$A:$M, 8, FALSE)</f>
        <v>0.8</v>
      </c>
      <c r="J14" s="6">
        <f>D14 * VLOOKUP($A14, Platform_DB!$A:$M, 9, FALSE)</f>
        <v>0.4</v>
      </c>
      <c r="K14" s="6">
        <f>D14 * VLOOKUP($A14, Platform_DB!$A:$M, 10, FALSE)</f>
        <v>2.8</v>
      </c>
      <c r="L14" s="6">
        <f>D14 * VLOOKUP($A14, Platform_DB!$A:$M, 11, FALSE)</f>
        <v>3.6</v>
      </c>
      <c r="M14" s="6">
        <f>D14 * VLOOKUP($A14, Platform_DB!$A:$M, 12, FALSE)</f>
        <v>2</v>
      </c>
      <c r="N14" s="6">
        <f>D14 * VLOOKUP($A14, Platform_DB!$A:$M, 13, FALSE)</f>
        <v>3.6</v>
      </c>
      <c r="O14" s="1"/>
      <c r="P14" s="1"/>
      <c r="Q14" s="1"/>
      <c r="R14" s="1"/>
      <c r="S14" s="1"/>
      <c r="T14" s="1"/>
      <c r="U14" s="3"/>
      <c r="V14" s="3"/>
      <c r="W14" s="3"/>
    </row>
    <row r="15" spans="1:23" ht="36.6" thickBot="1" x14ac:dyDescent="0.35">
      <c r="A15" s="5" t="s">
        <v>40</v>
      </c>
      <c r="B15" s="6" t="str">
        <f>VLOOKUP(A15, Platform_DB!$A:$H, 3, FALSE)</f>
        <v>Require robust Java / JVM enterprise library compatibility?</v>
      </c>
      <c r="C15" s="6" t="s">
        <v>120</v>
      </c>
      <c r="D15" s="6" cm="1">
        <f t="array" ref="D15">_xlfn.SWITCH(C15,"Critical",4,"High",2.5,"Medium",1,"Not Needed", 0)</f>
        <v>1</v>
      </c>
      <c r="E15" s="6">
        <f>D15 * VLOOKUP($A15, Platform_DB!$A:$M, 4, FALSE)</f>
        <v>0.8</v>
      </c>
      <c r="F15" s="6">
        <f>D15 * VLOOKUP($A15, Platform_DB!$A:$M, 5, FALSE)</f>
        <v>0.9</v>
      </c>
      <c r="G15" s="6">
        <f>D15 * VLOOKUP($A15, Platform_DB!$A:$M, 6, FALSE)</f>
        <v>1</v>
      </c>
      <c r="H15" s="6">
        <f>D15 * VLOOKUP($A15, Platform_DB!$A:$M, 7, FALSE)</f>
        <v>0.9</v>
      </c>
      <c r="I15" s="6">
        <f>D15 * VLOOKUP($A15, Platform_DB!$A:$M, 8, FALSE)</f>
        <v>0.2</v>
      </c>
      <c r="J15" s="6">
        <f>D15 * VLOOKUP($A15, Platform_DB!$A:$M, 9, FALSE)</f>
        <v>0.2</v>
      </c>
      <c r="K15" s="6">
        <f>D15 * VLOOKUP($A15, Platform_DB!$A:$M, 10, FALSE)</f>
        <v>0.8</v>
      </c>
      <c r="L15" s="6">
        <f>D15 * VLOOKUP($A15, Platform_DB!$A:$M, 11, FALSE)</f>
        <v>1</v>
      </c>
      <c r="M15" s="6">
        <f>D15 * VLOOKUP($A15, Platform_DB!$A:$M, 12, FALSE)</f>
        <v>0.4</v>
      </c>
      <c r="N15" s="6">
        <f>D15 * VLOOKUP($A15, Platform_DB!$A:$M, 13, FALSE)</f>
        <v>1</v>
      </c>
      <c r="O15" s="1"/>
      <c r="P15" s="1"/>
      <c r="Q15" s="1"/>
      <c r="R15" s="1"/>
      <c r="S15" s="1"/>
      <c r="T15" s="1"/>
      <c r="U15" s="3"/>
      <c r="V15" s="3"/>
      <c r="W15" s="3"/>
    </row>
    <row r="16" spans="1:23" ht="36.6" thickBot="1" x14ac:dyDescent="0.35">
      <c r="A16" s="5" t="s">
        <v>42</v>
      </c>
      <c r="B16" s="6" t="str">
        <f>VLOOKUP(A16, Platform_DB!$A:$H, 3, FALSE)</f>
        <v>Prefer standard gRPC interfaces over REST for high speed?</v>
      </c>
      <c r="C16" s="6" t="s">
        <v>124</v>
      </c>
      <c r="D16" s="6" cm="1">
        <f t="array" ref="D16">_xlfn.SWITCH(C16,"Critical",4,"High",2.5,"Medium",1,"Not Needed", 0)</f>
        <v>0</v>
      </c>
      <c r="E16" s="6">
        <f>D16 * VLOOKUP($A16, Platform_DB!$A:$M, 4, FALSE)</f>
        <v>0</v>
      </c>
      <c r="F16" s="6">
        <f>D16 * VLOOKUP($A16, Platform_DB!$A:$M, 5, FALSE)</f>
        <v>0</v>
      </c>
      <c r="G16" s="6">
        <f>D16 * VLOOKUP($A16, Platform_DB!$A:$M, 6, FALSE)</f>
        <v>0</v>
      </c>
      <c r="H16" s="6">
        <f>D16 * VLOOKUP($A16, Platform_DB!$A:$M, 7, FALSE)</f>
        <v>0</v>
      </c>
      <c r="I16" s="6">
        <f>D16 * VLOOKUP($A16, Platform_DB!$A:$M, 8, FALSE)</f>
        <v>0</v>
      </c>
      <c r="J16" s="6">
        <f>D16 * VLOOKUP($A16, Platform_DB!$A:$M, 9, FALSE)</f>
        <v>0</v>
      </c>
      <c r="K16" s="6">
        <f>D16 * VLOOKUP($A16, Platform_DB!$A:$M, 10, FALSE)</f>
        <v>0</v>
      </c>
      <c r="L16" s="6">
        <f>D16 * VLOOKUP($A16, Platform_DB!$A:$M, 11, FALSE)</f>
        <v>0</v>
      </c>
      <c r="M16" s="6">
        <f>D16 * VLOOKUP($A16, Platform_DB!$A:$M, 12, FALSE)</f>
        <v>0</v>
      </c>
      <c r="N16" s="6">
        <f>D16 * VLOOKUP($A16, Platform_DB!$A:$M, 13, FALSE)</f>
        <v>0</v>
      </c>
      <c r="O16" s="1"/>
      <c r="P16" s="1"/>
      <c r="Q16" s="1"/>
      <c r="R16" s="1"/>
      <c r="S16" s="1"/>
      <c r="T16" s="1"/>
      <c r="U16" s="3"/>
      <c r="V16" s="3"/>
      <c r="W16" s="3"/>
    </row>
    <row r="17" spans="1:23" ht="36.6" thickBot="1" x14ac:dyDescent="0.35">
      <c r="A17" s="5" t="s">
        <v>44</v>
      </c>
      <c r="B17" s="6" t="str">
        <f>VLOOKUP(A17, Platform_DB!$A:$H, 3, FALSE)</f>
        <v>Database natively written in Rust for safety and performance?</v>
      </c>
      <c r="C17" s="6" t="s">
        <v>121</v>
      </c>
      <c r="D17" s="6" cm="1">
        <f t="array" ref="D17">_xlfn.SWITCH(C17,"Critical",4,"High",2.5,"Medium",1,"Not Needed", 0)</f>
        <v>2.5</v>
      </c>
      <c r="E17" s="6">
        <f>D17 * VLOOKUP($A17, Platform_DB!$A:$M, 4, FALSE)</f>
        <v>0.25</v>
      </c>
      <c r="F17" s="6">
        <f>D17 * VLOOKUP($A17, Platform_DB!$A:$M, 5, FALSE)</f>
        <v>0.25</v>
      </c>
      <c r="G17" s="6">
        <f>D17 * VLOOKUP($A17, Platform_DB!$A:$M, 6, FALSE)</f>
        <v>0.25</v>
      </c>
      <c r="H17" s="6">
        <f>D17 * VLOOKUP($A17, Platform_DB!$A:$M, 7, FALSE)</f>
        <v>2.5</v>
      </c>
      <c r="I17" s="6">
        <f>D17 * VLOOKUP($A17, Platform_DB!$A:$M, 8, FALSE)</f>
        <v>1.5</v>
      </c>
      <c r="J17" s="6">
        <f>D17 * VLOOKUP($A17, Platform_DB!$A:$M, 9, FALSE)</f>
        <v>0.25</v>
      </c>
      <c r="K17" s="6">
        <f>D17 * VLOOKUP($A17, Platform_DB!$A:$M, 10, FALSE)</f>
        <v>0.25</v>
      </c>
      <c r="L17" s="6">
        <f>D17 * VLOOKUP($A17, Platform_DB!$A:$M, 11, FALSE)</f>
        <v>0.25</v>
      </c>
      <c r="M17" s="6">
        <f>D17 * VLOOKUP($A17, Platform_DB!$A:$M, 12, FALSE)</f>
        <v>2.5</v>
      </c>
      <c r="N17" s="6">
        <f>D17 * VLOOKUP($A17, Platform_DB!$A:$M, 13, FALSE)</f>
        <v>0.25</v>
      </c>
      <c r="O17" s="1"/>
      <c r="P17" s="1"/>
      <c r="Q17" s="1"/>
      <c r="R17" s="1"/>
      <c r="S17" s="1"/>
      <c r="T17" s="1"/>
      <c r="U17" s="3"/>
      <c r="V17" s="3"/>
      <c r="W17" s="3"/>
    </row>
    <row r="18" spans="1:23" ht="36.6" thickBot="1" x14ac:dyDescent="0.35">
      <c r="A18" s="5" t="s">
        <v>46</v>
      </c>
      <c r="B18" s="6" t="str">
        <f>VLOOKUP(A18, Platform_DB!$A:$H, 3, FALSE)</f>
        <v>Require standard SQL interface to query vector indexes?</v>
      </c>
      <c r="C18" s="6" t="s">
        <v>121</v>
      </c>
      <c r="D18" s="6" cm="1">
        <f t="array" ref="D18">_xlfn.SWITCH(C18,"Critical",4,"High",2.5,"Medium",1,"Not Needed", 0)</f>
        <v>2.5</v>
      </c>
      <c r="E18" s="6">
        <f>D18 * VLOOKUP($A18, Platform_DB!$A:$M, 4, FALSE)</f>
        <v>0.25</v>
      </c>
      <c r="F18" s="6">
        <f>D18 * VLOOKUP($A18, Platform_DB!$A:$M, 5, FALSE)</f>
        <v>0.25</v>
      </c>
      <c r="G18" s="6">
        <f>D18 * VLOOKUP($A18, Platform_DB!$A:$M, 6, FALSE)</f>
        <v>1.5</v>
      </c>
      <c r="H18" s="6">
        <f>D18 * VLOOKUP($A18, Platform_DB!$A:$M, 7, FALSE)</f>
        <v>0.5</v>
      </c>
      <c r="I18" s="6">
        <f>D18 * VLOOKUP($A18, Platform_DB!$A:$M, 8, FALSE)</f>
        <v>1.25</v>
      </c>
      <c r="J18" s="6">
        <f>D18 * VLOOKUP($A18, Platform_DB!$A:$M, 9, FALSE)</f>
        <v>0.25</v>
      </c>
      <c r="K18" s="6">
        <f>D18 * VLOOKUP($A18, Platform_DB!$A:$M, 10, FALSE)</f>
        <v>2.5</v>
      </c>
      <c r="L18" s="6">
        <f>D18 * VLOOKUP($A18, Platform_DB!$A:$M, 11, FALSE)</f>
        <v>0.5</v>
      </c>
      <c r="M18" s="6">
        <f>D18 * VLOOKUP($A18, Platform_DB!$A:$M, 12, FALSE)</f>
        <v>0.25</v>
      </c>
      <c r="N18" s="6">
        <f>D18 * VLOOKUP($A18, Platform_DB!$A:$M, 13, FALSE)</f>
        <v>2</v>
      </c>
      <c r="O18" s="1"/>
      <c r="P18" s="1"/>
      <c r="Q18" s="1"/>
      <c r="R18" s="1"/>
      <c r="S18" s="1"/>
      <c r="T18" s="1"/>
      <c r="U18" s="3"/>
      <c r="V18" s="3"/>
      <c r="W18" s="3"/>
    </row>
    <row r="19" spans="1:23" ht="36.6" thickBot="1" x14ac:dyDescent="0.35">
      <c r="A19" s="5" t="s">
        <v>48</v>
      </c>
      <c r="B19" s="6" t="str">
        <f>VLOOKUP(A19, Platform_DB!$A:$H, 3, FALSE)</f>
        <v>Need native GraphQL endpoints built directly into core engine?</v>
      </c>
      <c r="C19" s="6" t="s">
        <v>120</v>
      </c>
      <c r="D19" s="6" cm="1">
        <f t="array" ref="D19">_xlfn.SWITCH(C19,"Critical",4,"High",2.5,"Medium",1,"Not Needed", 0)</f>
        <v>1</v>
      </c>
      <c r="E19" s="6">
        <f>D19 * VLOOKUP($A19, Platform_DB!$A:$M, 4, FALSE)</f>
        <v>0.1</v>
      </c>
      <c r="F19" s="6">
        <f>D19 * VLOOKUP($A19, Platform_DB!$A:$M, 5, FALSE)</f>
        <v>1</v>
      </c>
      <c r="G19" s="6">
        <f>D19 * VLOOKUP($A19, Platform_DB!$A:$M, 6, FALSE)</f>
        <v>0.1</v>
      </c>
      <c r="H19" s="6">
        <f>D19 * VLOOKUP($A19, Platform_DB!$A:$M, 7, FALSE)</f>
        <v>0.1</v>
      </c>
      <c r="I19" s="6">
        <f>D19 * VLOOKUP($A19, Platform_DB!$A:$M, 8, FALSE)</f>
        <v>0.1</v>
      </c>
      <c r="J19" s="6">
        <f>D19 * VLOOKUP($A19, Platform_DB!$A:$M, 9, FALSE)</f>
        <v>0.1</v>
      </c>
      <c r="K19" s="6">
        <f>D19 * VLOOKUP($A19, Platform_DB!$A:$M, 10, FALSE)</f>
        <v>0.1</v>
      </c>
      <c r="L19" s="6">
        <f>D19 * VLOOKUP($A19, Platform_DB!$A:$M, 11, FALSE)</f>
        <v>0.4</v>
      </c>
      <c r="M19" s="6">
        <f>D19 * VLOOKUP($A19, Platform_DB!$A:$M, 12, FALSE)</f>
        <v>0.1</v>
      </c>
      <c r="N19" s="6">
        <f>D19 * VLOOKUP($A19, Platform_DB!$A:$M, 13, FALSE)</f>
        <v>0.1</v>
      </c>
      <c r="O19" s="1"/>
      <c r="P19" s="1"/>
      <c r="Q19" s="1"/>
      <c r="R19" s="1"/>
      <c r="S19" s="1"/>
      <c r="T19" s="1"/>
      <c r="U19" s="3"/>
      <c r="V19" s="3"/>
      <c r="W19" s="3"/>
    </row>
    <row r="20" spans="1:23" ht="36.6" thickBot="1" x14ac:dyDescent="0.35">
      <c r="A20" s="5" t="s">
        <v>50</v>
      </c>
      <c r="B20" s="6" t="str">
        <f>VLOOKUP(A20, Platform_DB!$A:$H, 3, FALSE)</f>
        <v>Advanced hybrid search (dense vectors + sparse BM25 tokens)?</v>
      </c>
      <c r="C20" s="6" t="s">
        <v>120</v>
      </c>
      <c r="D20" s="6" cm="1">
        <f t="array" ref="D20">_xlfn.SWITCH(C20,"Critical",4,"High",2.5,"Medium",1,"Not Needed", 0)</f>
        <v>1</v>
      </c>
      <c r="E20" s="6">
        <f>D20 * VLOOKUP($A20, Platform_DB!$A:$M, 4, FALSE)</f>
        <v>0.9</v>
      </c>
      <c r="F20" s="6">
        <f>D20 * VLOOKUP($A20, Platform_DB!$A:$M, 5, FALSE)</f>
        <v>1</v>
      </c>
      <c r="G20" s="6">
        <f>D20 * VLOOKUP($A20, Platform_DB!$A:$M, 6, FALSE)</f>
        <v>0.9</v>
      </c>
      <c r="H20" s="6">
        <f>D20 * VLOOKUP($A20, Platform_DB!$A:$M, 7, FALSE)</f>
        <v>1</v>
      </c>
      <c r="I20" s="6">
        <f>D20 * VLOOKUP($A20, Platform_DB!$A:$M, 8, FALSE)</f>
        <v>0.3</v>
      </c>
      <c r="J20" s="6">
        <f>D20 * VLOOKUP($A20, Platform_DB!$A:$M, 9, FALSE)</f>
        <v>0.1</v>
      </c>
      <c r="K20" s="6">
        <f>D20 * VLOOKUP($A20, Platform_DB!$A:$M, 10, FALSE)</f>
        <v>0.4</v>
      </c>
      <c r="L20" s="6">
        <f>D20 * VLOOKUP($A20, Platform_DB!$A:$M, 11, FALSE)</f>
        <v>0.8</v>
      </c>
      <c r="M20" s="6">
        <f>D20 * VLOOKUP($A20, Platform_DB!$A:$M, 12, FALSE)</f>
        <v>0.5</v>
      </c>
      <c r="N20" s="6">
        <f>D20 * VLOOKUP($A20, Platform_DB!$A:$M, 13, FALSE)</f>
        <v>1</v>
      </c>
      <c r="O20" s="1"/>
      <c r="P20" s="1"/>
      <c r="Q20" s="1"/>
      <c r="R20" s="1"/>
      <c r="S20" s="1"/>
      <c r="T20" s="1"/>
      <c r="U20" s="3"/>
      <c r="V20" s="3"/>
      <c r="W20" s="3"/>
    </row>
    <row r="21" spans="1:23" ht="36.6" thickBot="1" x14ac:dyDescent="0.35">
      <c r="A21" s="5" t="s">
        <v>53</v>
      </c>
      <c r="B21" s="6" t="str">
        <f>VLOOKUP(A21, Platform_DB!$A:$H, 3, FALSE)</f>
        <v>Need native multimodal data indexing (images, video, text)?</v>
      </c>
      <c r="C21" s="6" t="s">
        <v>124</v>
      </c>
      <c r="D21" s="6" cm="1">
        <f t="array" ref="D21">_xlfn.SWITCH(C21,"Critical",4,"High",2.5,"Medium",1,"Not Needed", 0)</f>
        <v>0</v>
      </c>
      <c r="E21" s="6">
        <f>D21 * VLOOKUP($A21, Platform_DB!$A:$M, 4, FALSE)</f>
        <v>0</v>
      </c>
      <c r="F21" s="6">
        <f>D21 * VLOOKUP($A21, Platform_DB!$A:$M, 5, FALSE)</f>
        <v>0</v>
      </c>
      <c r="G21" s="6">
        <f>D21 * VLOOKUP($A21, Platform_DB!$A:$M, 6, FALSE)</f>
        <v>0</v>
      </c>
      <c r="H21" s="6">
        <f>D21 * VLOOKUP($A21, Platform_DB!$A:$M, 7, FALSE)</f>
        <v>0</v>
      </c>
      <c r="I21" s="6">
        <f>D21 * VLOOKUP($A21, Platform_DB!$A:$M, 8, FALSE)</f>
        <v>0</v>
      </c>
      <c r="J21" s="6">
        <f>D21 * VLOOKUP($A21, Platform_DB!$A:$M, 9, FALSE)</f>
        <v>0</v>
      </c>
      <c r="K21" s="6">
        <f>D21 * VLOOKUP($A21, Platform_DB!$A:$M, 10, FALSE)</f>
        <v>0</v>
      </c>
      <c r="L21" s="6">
        <f>D21 * VLOOKUP($A21, Platform_DB!$A:$M, 11, FALSE)</f>
        <v>0</v>
      </c>
      <c r="M21" s="6">
        <f>D21 * VLOOKUP($A21, Platform_DB!$A:$M, 12, FALSE)</f>
        <v>0</v>
      </c>
      <c r="N21" s="6">
        <f>D21 * VLOOKUP($A21, Platform_DB!$A:$M, 13, FALSE)</f>
        <v>0</v>
      </c>
      <c r="O21" s="1"/>
      <c r="P21" s="1"/>
      <c r="Q21" s="1"/>
      <c r="R21" s="1"/>
      <c r="S21" s="1"/>
      <c r="T21" s="1"/>
      <c r="U21" s="3"/>
      <c r="V21" s="3"/>
      <c r="W21" s="3"/>
    </row>
    <row r="22" spans="1:23" ht="36.6" thickBot="1" x14ac:dyDescent="0.35">
      <c r="A22" s="5" t="s">
        <v>55</v>
      </c>
      <c r="B22" s="6" t="str">
        <f>VLOOKUP(A22, Platform_DB!$A:$H, 3, FALSE)</f>
        <v>Complex metadata filtering using multi-level logical operators?</v>
      </c>
      <c r="C22" s="6" t="s">
        <v>121</v>
      </c>
      <c r="D22" s="6" cm="1">
        <f t="array" ref="D22">_xlfn.SWITCH(C22,"Critical",4,"High",2.5,"Medium",1,"Not Needed", 0)</f>
        <v>2.5</v>
      </c>
      <c r="E22" s="6">
        <f>D22 * VLOOKUP($A22, Platform_DB!$A:$M, 4, FALSE)</f>
        <v>2.5</v>
      </c>
      <c r="F22" s="6">
        <f>D22 * VLOOKUP($A22, Platform_DB!$A:$M, 5, FALSE)</f>
        <v>2.25</v>
      </c>
      <c r="G22" s="6">
        <f>D22 * VLOOKUP($A22, Platform_DB!$A:$M, 6, FALSE)</f>
        <v>2.5</v>
      </c>
      <c r="H22" s="6">
        <f>D22 * VLOOKUP($A22, Platform_DB!$A:$M, 7, FALSE)</f>
        <v>2.5</v>
      </c>
      <c r="I22" s="6">
        <f>D22 * VLOOKUP($A22, Platform_DB!$A:$M, 8, FALSE)</f>
        <v>1.5</v>
      </c>
      <c r="J22" s="6">
        <f>D22 * VLOOKUP($A22, Platform_DB!$A:$M, 9, FALSE)</f>
        <v>0.75</v>
      </c>
      <c r="K22" s="6">
        <f>D22 * VLOOKUP($A22, Platform_DB!$A:$M, 10, FALSE)</f>
        <v>2</v>
      </c>
      <c r="L22" s="6">
        <f>D22 * VLOOKUP($A22, Platform_DB!$A:$M, 11, FALSE)</f>
        <v>2.5</v>
      </c>
      <c r="M22" s="6">
        <f>D22 * VLOOKUP($A22, Platform_DB!$A:$M, 12, FALSE)</f>
        <v>1.75</v>
      </c>
      <c r="N22" s="6">
        <f>D22 * VLOOKUP($A22, Platform_DB!$A:$M, 13, FALSE)</f>
        <v>2.5</v>
      </c>
      <c r="O22" s="1"/>
      <c r="P22" s="1"/>
      <c r="Q22" s="1"/>
      <c r="R22" s="1"/>
      <c r="S22" s="1"/>
      <c r="T22" s="1"/>
      <c r="U22" s="3"/>
      <c r="V22" s="3"/>
      <c r="W22" s="3"/>
    </row>
    <row r="23" spans="1:23" ht="36.6" thickBot="1" x14ac:dyDescent="0.35">
      <c r="A23" s="5" t="s">
        <v>57</v>
      </c>
      <c r="B23" s="6" t="str">
        <f>VLOOKUP(A23, Platform_DB!$A:$H, 3, FALSE)</f>
        <v>Real-time vector reranking directly within retrieval step?</v>
      </c>
      <c r="C23" s="6" t="s">
        <v>121</v>
      </c>
      <c r="D23" s="6" cm="1">
        <f t="array" ref="D23">_xlfn.SWITCH(C23,"Critical",4,"High",2.5,"Medium",1,"Not Needed", 0)</f>
        <v>2.5</v>
      </c>
      <c r="E23" s="6">
        <f>D23 * VLOOKUP($A23, Platform_DB!$A:$M, 4, FALSE)</f>
        <v>1.75</v>
      </c>
      <c r="F23" s="6">
        <f>D23 * VLOOKUP($A23, Platform_DB!$A:$M, 5, FALSE)</f>
        <v>2.5</v>
      </c>
      <c r="G23" s="6">
        <f>D23 * VLOOKUP($A23, Platform_DB!$A:$M, 6, FALSE)</f>
        <v>2</v>
      </c>
      <c r="H23" s="6">
        <f>D23 * VLOOKUP($A23, Platform_DB!$A:$M, 7, FALSE)</f>
        <v>2.25</v>
      </c>
      <c r="I23" s="6">
        <f>D23 * VLOOKUP($A23, Platform_DB!$A:$M, 8, FALSE)</f>
        <v>0.5</v>
      </c>
      <c r="J23" s="6">
        <f>D23 * VLOOKUP($A23, Platform_DB!$A:$M, 9, FALSE)</f>
        <v>0.25</v>
      </c>
      <c r="K23" s="6">
        <f>D23 * VLOOKUP($A23, Platform_DB!$A:$M, 10, FALSE)</f>
        <v>0.5</v>
      </c>
      <c r="L23" s="6">
        <f>D23 * VLOOKUP($A23, Platform_DB!$A:$M, 11, FALSE)</f>
        <v>1.5</v>
      </c>
      <c r="M23" s="6">
        <f>D23 * VLOOKUP($A23, Platform_DB!$A:$M, 12, FALSE)</f>
        <v>0.75</v>
      </c>
      <c r="N23" s="6">
        <f>D23 * VLOOKUP($A23, Platform_DB!$A:$M, 13, FALSE)</f>
        <v>2.5</v>
      </c>
      <c r="O23" s="1"/>
      <c r="P23" s="1"/>
      <c r="Q23" s="1"/>
      <c r="R23" s="1"/>
      <c r="S23" s="1"/>
      <c r="T23" s="1"/>
      <c r="U23" s="3"/>
      <c r="V23" s="3"/>
      <c r="W23" s="3"/>
    </row>
    <row r="24" spans="1:23" ht="36.6" thickBot="1" x14ac:dyDescent="0.35">
      <c r="A24" s="5" t="s">
        <v>59</v>
      </c>
      <c r="B24" s="6" t="str">
        <f>VLOOKUP(A24, Platform_DB!$A:$H, 3, FALSE)</f>
        <v>Need schema-less BSON/JSON structure for dynamic metadata?</v>
      </c>
      <c r="C24" s="6" t="s">
        <v>123</v>
      </c>
      <c r="D24" s="6" cm="1">
        <f t="array" ref="D24">_xlfn.SWITCH(C24,"Critical",4,"High",2.5,"Medium",1,"Not Needed", 0)</f>
        <v>4</v>
      </c>
      <c r="E24" s="6">
        <f>D24 * VLOOKUP($A24, Platform_DB!$A:$M, 4, FALSE)</f>
        <v>2</v>
      </c>
      <c r="F24" s="6">
        <f>D24 * VLOOKUP($A24, Platform_DB!$A:$M, 5, FALSE)</f>
        <v>2.8</v>
      </c>
      <c r="G24" s="6">
        <f>D24 * VLOOKUP($A24, Platform_DB!$A:$M, 6, FALSE)</f>
        <v>2.4</v>
      </c>
      <c r="H24" s="6">
        <f>D24 * VLOOKUP($A24, Platform_DB!$A:$M, 7, FALSE)</f>
        <v>3.2</v>
      </c>
      <c r="I24" s="6">
        <f>D24 * VLOOKUP($A24, Platform_DB!$A:$M, 8, FALSE)</f>
        <v>2.4</v>
      </c>
      <c r="J24" s="6">
        <f>D24 * VLOOKUP($A24, Platform_DB!$A:$M, 9, FALSE)</f>
        <v>0.4</v>
      </c>
      <c r="K24" s="6">
        <f>D24 * VLOOKUP($A24, Platform_DB!$A:$M, 10, FALSE)</f>
        <v>1.2</v>
      </c>
      <c r="L24" s="6">
        <f>D24 * VLOOKUP($A24, Platform_DB!$A:$M, 11, FALSE)</f>
        <v>4</v>
      </c>
      <c r="M24" s="6">
        <f>D24 * VLOOKUP($A24, Platform_DB!$A:$M, 12, FALSE)</f>
        <v>1.6</v>
      </c>
      <c r="N24" s="6">
        <f>D24 * VLOOKUP($A24, Platform_DB!$A:$M, 13, FALSE)</f>
        <v>3.2</v>
      </c>
      <c r="O24" s="1"/>
      <c r="P24" s="1"/>
      <c r="Q24" s="1"/>
      <c r="R24" s="1"/>
      <c r="S24" s="1"/>
      <c r="T24" s="1"/>
      <c r="U24" s="3"/>
      <c r="V24" s="3"/>
      <c r="W24" s="3"/>
    </row>
    <row r="25" spans="1:23" ht="36.6" thickBot="1" x14ac:dyDescent="0.35">
      <c r="A25" s="5" t="s">
        <v>61</v>
      </c>
      <c r="B25" s="6" t="str">
        <f>VLOOKUP(A25, Platform_DB!$A:$H, 3, FALSE)</f>
        <v>Time-to-live (TTL) configs for auto payload expiration?</v>
      </c>
      <c r="C25" s="6" t="s">
        <v>121</v>
      </c>
      <c r="D25" s="6" cm="1">
        <f t="array" ref="D25">_xlfn.SWITCH(C25,"Critical",4,"High",2.5,"Medium",1,"Not Needed", 0)</f>
        <v>2.5</v>
      </c>
      <c r="E25" s="6">
        <f>D25 * VLOOKUP($A25, Platform_DB!$A:$M, 4, FALSE)</f>
        <v>2.5</v>
      </c>
      <c r="F25" s="6">
        <f>D25 * VLOOKUP($A25, Platform_DB!$A:$M, 5, FALSE)</f>
        <v>1.75</v>
      </c>
      <c r="G25" s="6">
        <f>D25 * VLOOKUP($A25, Platform_DB!$A:$M, 6, FALSE)</f>
        <v>2</v>
      </c>
      <c r="H25" s="6">
        <f>D25 * VLOOKUP($A25, Platform_DB!$A:$M, 7, FALSE)</f>
        <v>2.5</v>
      </c>
      <c r="I25" s="6">
        <f>D25 * VLOOKUP($A25, Platform_DB!$A:$M, 8, FALSE)</f>
        <v>0.5</v>
      </c>
      <c r="J25" s="6">
        <f>D25 * VLOOKUP($A25, Platform_DB!$A:$M, 9, FALSE)</f>
        <v>0.25</v>
      </c>
      <c r="K25" s="6">
        <f>D25 * VLOOKUP($A25, Platform_DB!$A:$M, 10, FALSE)</f>
        <v>0.75</v>
      </c>
      <c r="L25" s="6">
        <f>D25 * VLOOKUP($A25, Platform_DB!$A:$M, 11, FALSE)</f>
        <v>2.25</v>
      </c>
      <c r="M25" s="6">
        <f>D25 * VLOOKUP($A25, Platform_DB!$A:$M, 12, FALSE)</f>
        <v>1</v>
      </c>
      <c r="N25" s="6">
        <f>D25 * VLOOKUP($A25, Platform_DB!$A:$M, 13, FALSE)</f>
        <v>2.25</v>
      </c>
      <c r="O25" s="1"/>
      <c r="P25" s="1"/>
      <c r="Q25" s="1"/>
      <c r="R25" s="1"/>
      <c r="S25" s="1"/>
      <c r="T25" s="1"/>
      <c r="U25" s="3"/>
      <c r="V25" s="3"/>
      <c r="W25" s="3"/>
    </row>
    <row r="26" spans="1:23" ht="36.6" thickBot="1" x14ac:dyDescent="0.35">
      <c r="A26" s="5" t="s">
        <v>63</v>
      </c>
      <c r="B26" s="6" t="str">
        <f>VLOOKUP(A26, Platform_DB!$A:$H, 3, FALSE)</f>
        <v>Heavy payload data storage capacities attached to vectors?</v>
      </c>
      <c r="C26" s="6" t="s">
        <v>121</v>
      </c>
      <c r="D26" s="6" cm="1">
        <f t="array" ref="D26">_xlfn.SWITCH(C26,"Critical",4,"High",2.5,"Medium",1,"Not Needed", 0)</f>
        <v>2.5</v>
      </c>
      <c r="E26" s="6">
        <f>D26 * VLOOKUP($A26, Platform_DB!$A:$M, 4, FALSE)</f>
        <v>1.5</v>
      </c>
      <c r="F26" s="6">
        <f>D26 * VLOOKUP($A26, Platform_DB!$A:$M, 5, FALSE)</f>
        <v>2.25</v>
      </c>
      <c r="G26" s="6">
        <f>D26 * VLOOKUP($A26, Platform_DB!$A:$M, 6, FALSE)</f>
        <v>2</v>
      </c>
      <c r="H26" s="6">
        <f>D26 * VLOOKUP($A26, Platform_DB!$A:$M, 7, FALSE)</f>
        <v>2.5</v>
      </c>
      <c r="I26" s="6">
        <f>D26 * VLOOKUP($A26, Platform_DB!$A:$M, 8, FALSE)</f>
        <v>1</v>
      </c>
      <c r="J26" s="6">
        <f>D26 * VLOOKUP($A26, Platform_DB!$A:$M, 9, FALSE)</f>
        <v>0.25</v>
      </c>
      <c r="K26" s="6">
        <f>D26 * VLOOKUP($A26, Platform_DB!$A:$M, 10, FALSE)</f>
        <v>2</v>
      </c>
      <c r="L26" s="6">
        <f>D26 * VLOOKUP($A26, Platform_DB!$A:$M, 11, FALSE)</f>
        <v>2.5</v>
      </c>
      <c r="M26" s="6">
        <f>D26 * VLOOKUP($A26, Platform_DB!$A:$M, 12, FALSE)</f>
        <v>1.25</v>
      </c>
      <c r="N26" s="6">
        <f>D26 * VLOOKUP($A26, Platform_DB!$A:$M, 13, FALSE)</f>
        <v>2.25</v>
      </c>
      <c r="O26" s="1"/>
      <c r="P26" s="1"/>
      <c r="Q26" s="1"/>
      <c r="R26" s="1"/>
      <c r="S26" s="1"/>
      <c r="T26" s="1"/>
      <c r="U26" s="3"/>
      <c r="V26" s="3"/>
      <c r="W26" s="3"/>
    </row>
    <row r="27" spans="1:23" ht="36.6" thickBot="1" x14ac:dyDescent="0.35">
      <c r="A27" s="5" t="s">
        <v>65</v>
      </c>
      <c r="B27" s="6" t="str">
        <f>VLOOKUP(A27, Platform_DB!$A:$H, 3, FALSE)</f>
        <v>Require native keyword-fusion rank matching out of the box?</v>
      </c>
      <c r="C27" s="6" t="s">
        <v>123</v>
      </c>
      <c r="D27" s="6" cm="1">
        <f t="array" ref="D27">_xlfn.SWITCH(C27,"Critical",4,"High",2.5,"Medium",1,"Not Needed", 0)</f>
        <v>4</v>
      </c>
      <c r="E27" s="6">
        <f>D27 * VLOOKUP($A27, Platform_DB!$A:$M, 4, FALSE)</f>
        <v>3.2</v>
      </c>
      <c r="F27" s="6">
        <f>D27 * VLOOKUP($A27, Platform_DB!$A:$M, 5, FALSE)</f>
        <v>4</v>
      </c>
      <c r="G27" s="6">
        <f>D27 * VLOOKUP($A27, Platform_DB!$A:$M, 6, FALSE)</f>
        <v>3.2</v>
      </c>
      <c r="H27" s="6">
        <f>D27 * VLOOKUP($A27, Platform_DB!$A:$M, 7, FALSE)</f>
        <v>3.2</v>
      </c>
      <c r="I27" s="6">
        <f>D27 * VLOOKUP($A27, Platform_DB!$A:$M, 8, FALSE)</f>
        <v>0.8</v>
      </c>
      <c r="J27" s="6">
        <f>D27 * VLOOKUP($A27, Platform_DB!$A:$M, 9, FALSE)</f>
        <v>0.4</v>
      </c>
      <c r="K27" s="6">
        <f>D27 * VLOOKUP($A27, Platform_DB!$A:$M, 10, FALSE)</f>
        <v>1.6</v>
      </c>
      <c r="L27" s="6">
        <f>D27 * VLOOKUP($A27, Platform_DB!$A:$M, 11, FALSE)</f>
        <v>3.6</v>
      </c>
      <c r="M27" s="6">
        <f>D27 * VLOOKUP($A27, Platform_DB!$A:$M, 12, FALSE)</f>
        <v>1.2</v>
      </c>
      <c r="N27" s="6">
        <f>D27 * VLOOKUP($A27, Platform_DB!$A:$M, 13, FALSE)</f>
        <v>4</v>
      </c>
      <c r="O27" s="1"/>
      <c r="P27" s="1"/>
      <c r="Q27" s="1"/>
      <c r="R27" s="1"/>
      <c r="S27" s="1"/>
      <c r="T27" s="1"/>
      <c r="U27" s="3"/>
      <c r="V27" s="3"/>
      <c r="W27" s="3"/>
    </row>
    <row r="28" spans="1:23" ht="36.6" thickBot="1" x14ac:dyDescent="0.35">
      <c r="A28" s="5" t="s">
        <v>67</v>
      </c>
      <c r="B28" s="6" t="str">
        <f>VLOOKUP(A28, Platform_DB!$A:$H, 3, FALSE)</f>
        <v>Will your operational dataset scale past 1 Billion vectors?</v>
      </c>
      <c r="C28" s="6" t="s">
        <v>123</v>
      </c>
      <c r="D28" s="6" cm="1">
        <f t="array" ref="D28">_xlfn.SWITCH(C28,"Critical",4,"High",2.5,"Medium",1,"Not Needed", 0)</f>
        <v>4</v>
      </c>
      <c r="E28" s="6">
        <f>D28 * VLOOKUP($A28, Platform_DB!$A:$M, 4, FALSE)</f>
        <v>4</v>
      </c>
      <c r="F28" s="6">
        <f>D28 * VLOOKUP($A28, Platform_DB!$A:$M, 5, FALSE)</f>
        <v>3.2</v>
      </c>
      <c r="G28" s="6">
        <f>D28 * VLOOKUP($A28, Platform_DB!$A:$M, 6, FALSE)</f>
        <v>4</v>
      </c>
      <c r="H28" s="6">
        <f>D28 * VLOOKUP($A28, Platform_DB!$A:$M, 7, FALSE)</f>
        <v>4</v>
      </c>
      <c r="I28" s="6">
        <f>D28 * VLOOKUP($A28, Platform_DB!$A:$M, 8, FALSE)</f>
        <v>0.8</v>
      </c>
      <c r="J28" s="6">
        <f>D28 * VLOOKUP($A28, Platform_DB!$A:$M, 9, FALSE)</f>
        <v>1.6</v>
      </c>
      <c r="K28" s="6">
        <f>D28 * VLOOKUP($A28, Platform_DB!$A:$M, 10, FALSE)</f>
        <v>2</v>
      </c>
      <c r="L28" s="6">
        <f>D28 * VLOOKUP($A28, Platform_DB!$A:$M, 11, FALSE)</f>
        <v>3.2</v>
      </c>
      <c r="M28" s="6">
        <f>D28 * VLOOKUP($A28, Platform_DB!$A:$M, 12, FALSE)</f>
        <v>2.8</v>
      </c>
      <c r="N28" s="6">
        <f>D28 * VLOOKUP($A28, Platform_DB!$A:$M, 13, FALSE)</f>
        <v>3.6</v>
      </c>
      <c r="O28" s="1"/>
      <c r="P28" s="1"/>
      <c r="Q28" s="1"/>
      <c r="R28" s="1"/>
      <c r="S28" s="1"/>
      <c r="T28" s="1"/>
      <c r="U28" s="3"/>
      <c r="V28" s="3"/>
      <c r="W28" s="3"/>
    </row>
    <row r="29" spans="1:23" ht="36.6" thickBot="1" x14ac:dyDescent="0.35">
      <c r="A29" s="5" t="s">
        <v>70</v>
      </c>
      <c r="B29" s="6" t="str">
        <f>VLOOKUP(A29, Platform_DB!$A:$H, 3, FALSE)</f>
        <v>Native GPU acceleration for high-speed index calculations?</v>
      </c>
      <c r="C29" s="6" t="s">
        <v>123</v>
      </c>
      <c r="D29" s="6" cm="1">
        <f t="array" ref="D29">_xlfn.SWITCH(C29,"Critical",4,"High",2.5,"Medium",1,"Not Needed", 0)</f>
        <v>4</v>
      </c>
      <c r="E29" s="6">
        <f>D29 * VLOOKUP($A29, Platform_DB!$A:$M, 4, FALSE)</f>
        <v>0.4</v>
      </c>
      <c r="F29" s="6">
        <f>D29 * VLOOKUP($A29, Platform_DB!$A:$M, 5, FALSE)</f>
        <v>0.4</v>
      </c>
      <c r="G29" s="6">
        <f>D29 * VLOOKUP($A29, Platform_DB!$A:$M, 6, FALSE)</f>
        <v>4</v>
      </c>
      <c r="H29" s="6">
        <f>D29 * VLOOKUP($A29, Platform_DB!$A:$M, 7, FALSE)</f>
        <v>2</v>
      </c>
      <c r="I29" s="6">
        <f>D29 * VLOOKUP($A29, Platform_DB!$A:$M, 8, FALSE)</f>
        <v>0.4</v>
      </c>
      <c r="J29" s="6">
        <f>D29 * VLOOKUP($A29, Platform_DB!$A:$M, 9, FALSE)</f>
        <v>4</v>
      </c>
      <c r="K29" s="6">
        <f>D29 * VLOOKUP($A29, Platform_DB!$A:$M, 10, FALSE)</f>
        <v>0.8</v>
      </c>
      <c r="L29" s="6">
        <f>D29 * VLOOKUP($A29, Platform_DB!$A:$M, 11, FALSE)</f>
        <v>0.4</v>
      </c>
      <c r="M29" s="6">
        <f>D29 * VLOOKUP($A29, Platform_DB!$A:$M, 12, FALSE)</f>
        <v>0.4</v>
      </c>
      <c r="N29" s="6">
        <f>D29 * VLOOKUP($A29, Platform_DB!$A:$M, 13, FALSE)</f>
        <v>0.4</v>
      </c>
      <c r="O29" s="1"/>
      <c r="P29" s="1"/>
      <c r="Q29" s="1"/>
      <c r="R29" s="1"/>
      <c r="S29" s="1"/>
      <c r="T29" s="1"/>
      <c r="U29" s="3"/>
      <c r="V29" s="3"/>
      <c r="W29" s="3"/>
    </row>
    <row r="30" spans="1:23" ht="36.6" thickBot="1" x14ac:dyDescent="0.35">
      <c r="A30" s="5" t="s">
        <v>72</v>
      </c>
      <c r="B30" s="6" t="str">
        <f>VLOOKUP(A30, Platform_DB!$A:$H, 3, FALSE)</f>
        <v>Is getting ultra-low vector latency (sub-10ms) top metric?</v>
      </c>
      <c r="C30" s="6" t="s">
        <v>123</v>
      </c>
      <c r="D30" s="6" cm="1">
        <f t="array" ref="D30">_xlfn.SWITCH(C30,"Critical",4,"High",2.5,"Medium",1,"Not Needed", 0)</f>
        <v>4</v>
      </c>
      <c r="E30" s="6">
        <f>D30 * VLOOKUP($A30, Platform_DB!$A:$M, 4, FALSE)</f>
        <v>3.6</v>
      </c>
      <c r="F30" s="6">
        <f>D30 * VLOOKUP($A30, Platform_DB!$A:$M, 5, FALSE)</f>
        <v>3.2</v>
      </c>
      <c r="G30" s="6">
        <f>D30 * VLOOKUP($A30, Platform_DB!$A:$M, 6, FALSE)</f>
        <v>3.2</v>
      </c>
      <c r="H30" s="6">
        <f>D30 * VLOOKUP($A30, Platform_DB!$A:$M, 7, FALSE)</f>
        <v>4</v>
      </c>
      <c r="I30" s="6">
        <f>D30 * VLOOKUP($A30, Platform_DB!$A:$M, 8, FALSE)</f>
        <v>2.8</v>
      </c>
      <c r="J30" s="6">
        <f>D30 * VLOOKUP($A30, Platform_DB!$A:$M, 9, FALSE)</f>
        <v>4</v>
      </c>
      <c r="K30" s="6">
        <f>D30 * VLOOKUP($A30, Platform_DB!$A:$M, 10, FALSE)</f>
        <v>2.4</v>
      </c>
      <c r="L30" s="6">
        <f>D30 * VLOOKUP($A30, Platform_DB!$A:$M, 11, FALSE)</f>
        <v>2</v>
      </c>
      <c r="M30" s="6">
        <f>D30 * VLOOKUP($A30, Platform_DB!$A:$M, 12, FALSE)</f>
        <v>3.6</v>
      </c>
      <c r="N30" s="6">
        <f>D30 * VLOOKUP($A30, Platform_DB!$A:$M, 13, FALSE)</f>
        <v>2.4</v>
      </c>
      <c r="O30" s="3"/>
      <c r="P30" s="3"/>
      <c r="Q30" s="3"/>
      <c r="R30" s="3"/>
      <c r="S30" s="3"/>
      <c r="T30" s="3"/>
      <c r="U30" s="3"/>
      <c r="V30" s="3"/>
      <c r="W30" s="3"/>
    </row>
    <row r="31" spans="1:23" ht="36.6" thickBot="1" x14ac:dyDescent="0.35">
      <c r="A31" s="5" t="s">
        <v>74</v>
      </c>
      <c r="B31" s="6" t="str">
        <f>VLOOKUP(A31, Platform_DB!$A:$H, 3, FALSE)</f>
        <v>Require rapid, un-cached cold-start search efficiencies?</v>
      </c>
      <c r="C31" s="6" t="s">
        <v>123</v>
      </c>
      <c r="D31" s="6" cm="1">
        <f t="array" ref="D31">_xlfn.SWITCH(C31,"Critical",4,"High",2.5,"Medium",1,"Not Needed", 0)</f>
        <v>4</v>
      </c>
      <c r="E31" s="6">
        <f>D31 * VLOOKUP($A31, Platform_DB!$A:$M, 4, FALSE)</f>
        <v>3.2</v>
      </c>
      <c r="F31" s="6">
        <f>D31 * VLOOKUP($A31, Platform_DB!$A:$M, 5, FALSE)</f>
        <v>2.8</v>
      </c>
      <c r="G31" s="6">
        <f>D31 * VLOOKUP($A31, Platform_DB!$A:$M, 6, FALSE)</f>
        <v>2.8</v>
      </c>
      <c r="H31" s="6">
        <f>D31 * VLOOKUP($A31, Platform_DB!$A:$M, 7, FALSE)</f>
        <v>3.6</v>
      </c>
      <c r="I31" s="6">
        <f>D31 * VLOOKUP($A31, Platform_DB!$A:$M, 8, FALSE)</f>
        <v>2</v>
      </c>
      <c r="J31" s="6">
        <f>D31 * VLOOKUP($A31, Platform_DB!$A:$M, 9, FALSE)</f>
        <v>2.4</v>
      </c>
      <c r="K31" s="6">
        <f>D31 * VLOOKUP($A31, Platform_DB!$A:$M, 10, FALSE)</f>
        <v>1.6</v>
      </c>
      <c r="L31" s="6">
        <f>D31 * VLOOKUP($A31, Platform_DB!$A:$M, 11, FALSE)</f>
        <v>1.6</v>
      </c>
      <c r="M31" s="6">
        <f>D31 * VLOOKUP($A31, Platform_DB!$A:$M, 12, FALSE)</f>
        <v>4</v>
      </c>
      <c r="N31" s="6">
        <f>D31 * VLOOKUP($A31, Platform_DB!$A:$M, 13, FALSE)</f>
        <v>1.6</v>
      </c>
      <c r="O31" s="3"/>
      <c r="P31" s="3"/>
      <c r="Q31" s="3"/>
      <c r="R31" s="3"/>
      <c r="S31" s="3"/>
      <c r="T31" s="3"/>
      <c r="U31" s="3"/>
      <c r="V31" s="3"/>
      <c r="W31" s="3"/>
    </row>
    <row r="32" spans="1:23" ht="36.6" thickBot="1" x14ac:dyDescent="0.35">
      <c r="A32" s="5" t="s">
        <v>76</v>
      </c>
      <c r="B32" s="6" t="str">
        <f>VLOOKUP(A32, Platform_DB!$A:$H, 3, FALSE)</f>
        <v>Expect heavy parallel simultaneous query volumes (high QPS)?</v>
      </c>
      <c r="C32" s="6" t="s">
        <v>123</v>
      </c>
      <c r="D32" s="6" cm="1">
        <f t="array" ref="D32">_xlfn.SWITCH(C32,"Critical",4,"High",2.5,"Medium",1,"Not Needed", 0)</f>
        <v>4</v>
      </c>
      <c r="E32" s="6">
        <f>D32 * VLOOKUP($A32, Platform_DB!$A:$M, 4, FALSE)</f>
        <v>4</v>
      </c>
      <c r="F32" s="6">
        <f>D32 * VLOOKUP($A32, Platform_DB!$A:$M, 5, FALSE)</f>
        <v>3.2</v>
      </c>
      <c r="G32" s="6">
        <f>D32 * VLOOKUP($A32, Platform_DB!$A:$M, 6, FALSE)</f>
        <v>4</v>
      </c>
      <c r="H32" s="6">
        <f>D32 * VLOOKUP($A32, Platform_DB!$A:$M, 7, FALSE)</f>
        <v>4</v>
      </c>
      <c r="I32" s="6">
        <f>D32 * VLOOKUP($A32, Platform_DB!$A:$M, 8, FALSE)</f>
        <v>1.2</v>
      </c>
      <c r="J32" s="6">
        <f>D32 * VLOOKUP($A32, Platform_DB!$A:$M, 9, FALSE)</f>
        <v>2</v>
      </c>
      <c r="K32" s="6">
        <f>D32 * VLOOKUP($A32, Platform_DB!$A:$M, 10, FALSE)</f>
        <v>2.4</v>
      </c>
      <c r="L32" s="6">
        <f>D32 * VLOOKUP($A32, Platform_DB!$A:$M, 11, FALSE)</f>
        <v>3.2</v>
      </c>
      <c r="M32" s="6">
        <f>D32 * VLOOKUP($A32, Platform_DB!$A:$M, 12, FALSE)</f>
        <v>3.2</v>
      </c>
      <c r="N32" s="6">
        <f>D32 * VLOOKUP($A32, Platform_DB!$A:$M, 13, FALSE)</f>
        <v>3.6</v>
      </c>
      <c r="O32" s="3"/>
      <c r="P32" s="3"/>
      <c r="Q32" s="3"/>
      <c r="R32" s="3"/>
      <c r="S32" s="3"/>
      <c r="T32" s="3"/>
      <c r="U32" s="3"/>
      <c r="V32" s="3"/>
      <c r="W32" s="3"/>
    </row>
    <row r="33" spans="1:23" ht="36.6" thickBot="1" x14ac:dyDescent="0.35">
      <c r="A33" s="5" t="s">
        <v>78</v>
      </c>
      <c r="B33" s="6" t="str">
        <f>VLOOKUP(A33, Platform_DB!$A:$H, 3, FALSE)</f>
        <v>Dynamic memory optimization like scalar/product quantization?</v>
      </c>
      <c r="C33" s="6" t="s">
        <v>121</v>
      </c>
      <c r="D33" s="6" cm="1">
        <f t="array" ref="D33">_xlfn.SWITCH(C33,"Critical",4,"High",2.5,"Medium",1,"Not Needed", 0)</f>
        <v>2.5</v>
      </c>
      <c r="E33" s="6">
        <f>D33 * VLOOKUP($A33, Platform_DB!$A:$M, 4, FALSE)</f>
        <v>2.25</v>
      </c>
      <c r="F33" s="6">
        <f>D33 * VLOOKUP($A33, Platform_DB!$A:$M, 5, FALSE)</f>
        <v>2.25</v>
      </c>
      <c r="G33" s="6">
        <f>D33 * VLOOKUP($A33, Platform_DB!$A:$M, 6, FALSE)</f>
        <v>2.5</v>
      </c>
      <c r="H33" s="6">
        <f>D33 * VLOOKUP($A33, Platform_DB!$A:$M, 7, FALSE)</f>
        <v>2.5</v>
      </c>
      <c r="I33" s="6">
        <f>D33 * VLOOKUP($A33, Platform_DB!$A:$M, 8, FALSE)</f>
        <v>1</v>
      </c>
      <c r="J33" s="6">
        <f>D33 * VLOOKUP($A33, Platform_DB!$A:$M, 9, FALSE)</f>
        <v>2.5</v>
      </c>
      <c r="K33" s="6">
        <f>D33 * VLOOKUP($A33, Platform_DB!$A:$M, 10, FALSE)</f>
        <v>1.5</v>
      </c>
      <c r="L33" s="6">
        <f>D33 * VLOOKUP($A33, Platform_DB!$A:$M, 11, FALSE)</f>
        <v>1</v>
      </c>
      <c r="M33" s="6">
        <f>D33 * VLOOKUP($A33, Platform_DB!$A:$M, 12, FALSE)</f>
        <v>1.5</v>
      </c>
      <c r="N33" s="6">
        <f>D33 * VLOOKUP($A33, Platform_DB!$A:$M, 13, FALSE)</f>
        <v>2</v>
      </c>
      <c r="O33" s="3"/>
      <c r="P33" s="3"/>
      <c r="Q33" s="3"/>
      <c r="R33" s="3"/>
      <c r="S33" s="3"/>
      <c r="T33" s="3"/>
      <c r="U33" s="3"/>
      <c r="V33" s="3"/>
      <c r="W33" s="3"/>
    </row>
    <row r="34" spans="1:23" ht="36.6" thickBot="1" x14ac:dyDescent="0.35">
      <c r="A34" s="5" t="s">
        <v>80</v>
      </c>
      <c r="B34" s="6" t="str">
        <f>VLOOKUP(A34, Platform_DB!$A:$H, 3, FALSE)</f>
        <v>Index completely read-heavy with almost zero stream writes?</v>
      </c>
      <c r="C34" s="6" t="s">
        <v>121</v>
      </c>
      <c r="D34" s="6" cm="1">
        <f t="array" ref="D34">_xlfn.SWITCH(C34,"Critical",4,"High",2.5,"Medium",1,"Not Needed", 0)</f>
        <v>2.5</v>
      </c>
      <c r="E34" s="6">
        <f>D34 * VLOOKUP($A34, Platform_DB!$A:$M, 4, FALSE)</f>
        <v>1.5</v>
      </c>
      <c r="F34" s="6">
        <f>D34 * VLOOKUP($A34, Platform_DB!$A:$M, 5, FALSE)</f>
        <v>1.5</v>
      </c>
      <c r="G34" s="6">
        <f>D34 * VLOOKUP($A34, Platform_DB!$A:$M, 6, FALSE)</f>
        <v>1.5</v>
      </c>
      <c r="H34" s="6">
        <f>D34 * VLOOKUP($A34, Platform_DB!$A:$M, 7, FALSE)</f>
        <v>1.5</v>
      </c>
      <c r="I34" s="6">
        <f>D34 * VLOOKUP($A34, Platform_DB!$A:$M, 8, FALSE)</f>
        <v>2</v>
      </c>
      <c r="J34" s="6">
        <f>D34 * VLOOKUP($A34, Platform_DB!$A:$M, 9, FALSE)</f>
        <v>2.5</v>
      </c>
      <c r="K34" s="6">
        <f>D34 * VLOOKUP($A34, Platform_DB!$A:$M, 10, FALSE)</f>
        <v>1.25</v>
      </c>
      <c r="L34" s="6">
        <f>D34 * VLOOKUP($A34, Platform_DB!$A:$M, 11, FALSE)</f>
        <v>1.25</v>
      </c>
      <c r="M34" s="6">
        <f>D34 * VLOOKUP($A34, Platform_DB!$A:$M, 12, FALSE)</f>
        <v>1.75</v>
      </c>
      <c r="N34" s="6">
        <f>D34 * VLOOKUP($A34, Platform_DB!$A:$M, 13, FALSE)</f>
        <v>1.5</v>
      </c>
      <c r="O34" s="3"/>
      <c r="P34" s="3"/>
      <c r="Q34" s="3"/>
      <c r="R34" s="3"/>
      <c r="S34" s="3"/>
      <c r="T34" s="3"/>
      <c r="U34" s="3"/>
      <c r="V34" s="3"/>
      <c r="W34" s="3"/>
    </row>
    <row r="35" spans="1:23" ht="36.6" thickBot="1" x14ac:dyDescent="0.35">
      <c r="A35" s="5" t="s">
        <v>82</v>
      </c>
      <c r="B35" s="6" t="str">
        <f>VLOOKUP(A35, Platform_DB!$A:$H, 3, FALSE)</f>
        <v>Real-time HNSW index updates without locking tables?</v>
      </c>
      <c r="C35" s="6" t="s">
        <v>124</v>
      </c>
      <c r="D35" s="6" cm="1">
        <f t="array" ref="D35">_xlfn.SWITCH(C35,"Critical",4,"High",2.5,"Medium",1,"Not Needed", 0)</f>
        <v>0</v>
      </c>
      <c r="E35" s="6">
        <f>D35 * VLOOKUP($A35, Platform_DB!$A:$M, 4, FALSE)</f>
        <v>0</v>
      </c>
      <c r="F35" s="6">
        <f>D35 * VLOOKUP($A35, Platform_DB!$A:$M, 5, FALSE)</f>
        <v>0</v>
      </c>
      <c r="G35" s="6">
        <f>D35 * VLOOKUP($A35, Platform_DB!$A:$M, 6, FALSE)</f>
        <v>0</v>
      </c>
      <c r="H35" s="6">
        <f>D35 * VLOOKUP($A35, Platform_DB!$A:$M, 7, FALSE)</f>
        <v>0</v>
      </c>
      <c r="I35" s="6">
        <f>D35 * VLOOKUP($A35, Platform_DB!$A:$M, 8, FALSE)</f>
        <v>0</v>
      </c>
      <c r="J35" s="6">
        <f>D35 * VLOOKUP($A35, Platform_DB!$A:$M, 9, FALSE)</f>
        <v>0</v>
      </c>
      <c r="K35" s="6">
        <f>D35 * VLOOKUP($A35, Platform_DB!$A:$M, 10, FALSE)</f>
        <v>0</v>
      </c>
      <c r="L35" s="6">
        <f>D35 * VLOOKUP($A35, Platform_DB!$A:$M, 11, FALSE)</f>
        <v>0</v>
      </c>
      <c r="M35" s="6">
        <f>D35 * VLOOKUP($A35, Platform_DB!$A:$M, 12, FALSE)</f>
        <v>0</v>
      </c>
      <c r="N35" s="6">
        <f>D35 * VLOOKUP($A35, Platform_DB!$A:$M, 13, FALSE)</f>
        <v>0</v>
      </c>
      <c r="O35" s="3"/>
      <c r="P35" s="3"/>
      <c r="Q35" s="3"/>
      <c r="R35" s="3"/>
      <c r="S35" s="3"/>
      <c r="T35" s="3"/>
      <c r="U35" s="3"/>
      <c r="V35" s="3"/>
      <c r="W35" s="3"/>
    </row>
    <row r="36" spans="1:23" ht="36.6" thickBot="1" x14ac:dyDescent="0.35">
      <c r="A36" s="5" t="s">
        <v>84</v>
      </c>
      <c r="B36" s="6" t="str">
        <f>VLOOKUP(A36, Platform_DB!$A:$H, 3, FALSE)</f>
        <v>Engineering infrastructure stack already runs on PostgreSQL?</v>
      </c>
      <c r="C36" s="6" t="s">
        <v>124</v>
      </c>
      <c r="D36" s="6" cm="1">
        <f t="array" ref="D36">_xlfn.SWITCH(C36,"Critical",4,"High",2.5,"Medium",1,"Not Needed", 0)</f>
        <v>0</v>
      </c>
      <c r="E36" s="6">
        <f>D36 * VLOOKUP($A36, Platform_DB!$A:$M, 4, FALSE)</f>
        <v>0</v>
      </c>
      <c r="F36" s="6">
        <f>D36 * VLOOKUP($A36, Platform_DB!$A:$M, 5, FALSE)</f>
        <v>0</v>
      </c>
      <c r="G36" s="6">
        <f>D36 * VLOOKUP($A36, Platform_DB!$A:$M, 6, FALSE)</f>
        <v>0</v>
      </c>
      <c r="H36" s="6">
        <f>D36 * VLOOKUP($A36, Platform_DB!$A:$M, 7, FALSE)</f>
        <v>0</v>
      </c>
      <c r="I36" s="6">
        <f>D36 * VLOOKUP($A36, Platform_DB!$A:$M, 8, FALSE)</f>
        <v>0</v>
      </c>
      <c r="J36" s="6">
        <f>D36 * VLOOKUP($A36, Platform_DB!$A:$M, 9, FALSE)</f>
        <v>0</v>
      </c>
      <c r="K36" s="6">
        <f>D36 * VLOOKUP($A36, Platform_DB!$A:$M, 10, FALSE)</f>
        <v>0</v>
      </c>
      <c r="L36" s="6">
        <f>D36 * VLOOKUP($A36, Platform_DB!$A:$M, 11, FALSE)</f>
        <v>0</v>
      </c>
      <c r="M36" s="6">
        <f>D36 * VLOOKUP($A36, Platform_DB!$A:$M, 12, FALSE)</f>
        <v>0</v>
      </c>
      <c r="N36" s="6">
        <f>D36 * VLOOKUP($A36, Platform_DB!$A:$M, 13, FALSE)</f>
        <v>0</v>
      </c>
      <c r="O36" s="3"/>
      <c r="P36" s="3"/>
      <c r="Q36" s="3"/>
      <c r="R36" s="3"/>
      <c r="S36" s="3"/>
      <c r="T36" s="3"/>
      <c r="U36" s="3"/>
      <c r="V36" s="3"/>
      <c r="W36" s="3"/>
    </row>
    <row r="37" spans="1:23" ht="36.6" thickBot="1" x14ac:dyDescent="0.35">
      <c r="A37" s="5" t="s">
        <v>87</v>
      </c>
      <c r="B37" s="6" t="str">
        <f>VLOOKUP(A37, Platform_DB!$A:$H, 3, FALSE)</f>
        <v>Architecture stack already heavily deploys and depends on Mongo?</v>
      </c>
      <c r="C37" s="6" t="s">
        <v>120</v>
      </c>
      <c r="D37" s="6" cm="1">
        <f t="array" ref="D37">_xlfn.SWITCH(C37,"Critical",4,"High",2.5,"Medium",1,"Not Needed", 0)</f>
        <v>1</v>
      </c>
      <c r="E37" s="6">
        <f>D37 * VLOOKUP($A37, Platform_DB!$A:$M, 4, FALSE)</f>
        <v>0.1</v>
      </c>
      <c r="F37" s="6">
        <f>D37 * VLOOKUP($A37, Platform_DB!$A:$M, 5, FALSE)</f>
        <v>0.1</v>
      </c>
      <c r="G37" s="6">
        <f>D37 * VLOOKUP($A37, Platform_DB!$A:$M, 6, FALSE)</f>
        <v>0.1</v>
      </c>
      <c r="H37" s="6">
        <f>D37 * VLOOKUP($A37, Platform_DB!$A:$M, 7, FALSE)</f>
        <v>0.1</v>
      </c>
      <c r="I37" s="6">
        <f>D37 * VLOOKUP($A37, Platform_DB!$A:$M, 8, FALSE)</f>
        <v>0.1</v>
      </c>
      <c r="J37" s="6">
        <f>D37 * VLOOKUP($A37, Platform_DB!$A:$M, 9, FALSE)</f>
        <v>0.1</v>
      </c>
      <c r="K37" s="6">
        <f>D37 * VLOOKUP($A37, Platform_DB!$A:$M, 10, FALSE)</f>
        <v>0.1</v>
      </c>
      <c r="L37" s="6">
        <f>D37 * VLOOKUP($A37, Platform_DB!$A:$M, 11, FALSE)</f>
        <v>1</v>
      </c>
      <c r="M37" s="6">
        <f>D37 * VLOOKUP($A37, Platform_DB!$A:$M, 12, FALSE)</f>
        <v>0.1</v>
      </c>
      <c r="N37" s="6">
        <f>D37 * VLOOKUP($A37, Platform_DB!$A:$M, 13, FALSE)</f>
        <v>0.1</v>
      </c>
      <c r="O37" s="3"/>
      <c r="P37" s="3"/>
      <c r="Q37" s="3"/>
      <c r="R37" s="3"/>
      <c r="S37" s="3"/>
      <c r="T37" s="3"/>
      <c r="U37" s="3"/>
      <c r="V37" s="3"/>
      <c r="W37" s="3"/>
    </row>
    <row r="38" spans="1:23" ht="36.6" thickBot="1" x14ac:dyDescent="0.35">
      <c r="A38" s="5" t="s">
        <v>89</v>
      </c>
      <c r="B38" s="6" t="str">
        <f>VLOOKUP(A38, Platform_DB!$A:$H, 3, FALSE)</f>
        <v>Goal to add exactly ZERO brand-new database dependencies?</v>
      </c>
      <c r="C38" s="6" t="s">
        <v>123</v>
      </c>
      <c r="D38" s="6" cm="1">
        <f t="array" ref="D38">_xlfn.SWITCH(C38,"Critical",4,"High",2.5,"Medium",1,"Not Needed", 0)</f>
        <v>4</v>
      </c>
      <c r="E38" s="6">
        <f>D38 * VLOOKUP($A38, Platform_DB!$A:$M, 4, FALSE)</f>
        <v>0.4</v>
      </c>
      <c r="F38" s="6">
        <f>D38 * VLOOKUP($A38, Platform_DB!$A:$M, 5, FALSE)</f>
        <v>0.4</v>
      </c>
      <c r="G38" s="6">
        <f>D38 * VLOOKUP($A38, Platform_DB!$A:$M, 6, FALSE)</f>
        <v>0.4</v>
      </c>
      <c r="H38" s="6">
        <f>D38 * VLOOKUP($A38, Platform_DB!$A:$M, 7, FALSE)</f>
        <v>0.4</v>
      </c>
      <c r="I38" s="6">
        <f>D38 * VLOOKUP($A38, Platform_DB!$A:$M, 8, FALSE)</f>
        <v>1.6</v>
      </c>
      <c r="J38" s="6">
        <f>D38 * VLOOKUP($A38, Platform_DB!$A:$M, 9, FALSE)</f>
        <v>1.2</v>
      </c>
      <c r="K38" s="6">
        <f>D38 * VLOOKUP($A38, Platform_DB!$A:$M, 10, FALSE)</f>
        <v>4</v>
      </c>
      <c r="L38" s="6">
        <f>D38 * VLOOKUP($A38, Platform_DB!$A:$M, 11, FALSE)</f>
        <v>4</v>
      </c>
      <c r="M38" s="6">
        <f>D38 * VLOOKUP($A38, Platform_DB!$A:$M, 12, FALSE)</f>
        <v>0.4</v>
      </c>
      <c r="N38" s="6">
        <f>D38 * VLOOKUP($A38, Platform_DB!$A:$M, 13, FALSE)</f>
        <v>2.8</v>
      </c>
      <c r="O38" s="3"/>
      <c r="P38" s="3"/>
      <c r="Q38" s="3"/>
      <c r="R38" s="3"/>
      <c r="S38" s="3"/>
      <c r="T38" s="3"/>
      <c r="U38" s="3"/>
      <c r="V38" s="3"/>
      <c r="W38" s="3"/>
    </row>
    <row r="39" spans="1:23" ht="36.6" thickBot="1" x14ac:dyDescent="0.35">
      <c r="A39" s="5" t="s">
        <v>91</v>
      </c>
      <c r="B39" s="6" t="str">
        <f>VLOOKUP(A39, Platform_DB!$A:$H, 3, FALSE)</f>
        <v>Need transactional ACID security across vector index sets?</v>
      </c>
      <c r="C39" s="6" t="s">
        <v>120</v>
      </c>
      <c r="D39" s="6" cm="1">
        <f t="array" ref="D39">_xlfn.SWITCH(C39,"Critical",4,"High",2.5,"Medium",1,"Not Needed", 0)</f>
        <v>1</v>
      </c>
      <c r="E39" s="6">
        <f>D39 * VLOOKUP($A39, Platform_DB!$A:$M, 4, FALSE)</f>
        <v>0.1</v>
      </c>
      <c r="F39" s="6">
        <f>D39 * VLOOKUP($A39, Platform_DB!$A:$M, 5, FALSE)</f>
        <v>0.2</v>
      </c>
      <c r="G39" s="6">
        <f>D39 * VLOOKUP($A39, Platform_DB!$A:$M, 6, FALSE)</f>
        <v>0.2</v>
      </c>
      <c r="H39" s="6">
        <f>D39 * VLOOKUP($A39, Platform_DB!$A:$M, 7, FALSE)</f>
        <v>0.3</v>
      </c>
      <c r="I39" s="6">
        <f>D39 * VLOOKUP($A39, Platform_DB!$A:$M, 8, FALSE)</f>
        <v>0.1</v>
      </c>
      <c r="J39" s="6">
        <f>D39 * VLOOKUP($A39, Platform_DB!$A:$M, 9, FALSE)</f>
        <v>0.1</v>
      </c>
      <c r="K39" s="6">
        <f>D39 * VLOOKUP($A39, Platform_DB!$A:$M, 10, FALSE)</f>
        <v>1</v>
      </c>
      <c r="L39" s="6">
        <f>D39 * VLOOKUP($A39, Platform_DB!$A:$M, 11, FALSE)</f>
        <v>1</v>
      </c>
      <c r="M39" s="6">
        <f>D39 * VLOOKUP($A39, Platform_DB!$A:$M, 12, FALSE)</f>
        <v>0.1</v>
      </c>
      <c r="N39" s="6">
        <f>D39 * VLOOKUP($A39, Platform_DB!$A:$M, 13, FALSE)</f>
        <v>0.4</v>
      </c>
      <c r="O39" s="3"/>
      <c r="P39" s="3"/>
      <c r="Q39" s="3"/>
      <c r="R39" s="3"/>
      <c r="S39" s="3"/>
      <c r="T39" s="3"/>
      <c r="U39" s="3"/>
      <c r="V39" s="3"/>
      <c r="W39" s="3"/>
    </row>
    <row r="40" spans="1:23" ht="36.6" thickBot="1" x14ac:dyDescent="0.35">
      <c r="A40" s="5" t="s">
        <v>93</v>
      </c>
      <c r="B40" s="6" t="str">
        <f>VLOOKUP(A40, Platform_DB!$A:$H, 3, FALSE)</f>
        <v>Total avoidance of tasks like clustering and shard tuning?</v>
      </c>
      <c r="C40" s="6" t="s">
        <v>120</v>
      </c>
      <c r="D40" s="6" cm="1">
        <f t="array" ref="D40">_xlfn.SWITCH(C40,"Critical",4,"High",2.5,"Medium",1,"Not Needed", 0)</f>
        <v>1</v>
      </c>
      <c r="E40" s="6">
        <f>D40 * VLOOKUP($A40, Platform_DB!$A:$M, 4, FALSE)</f>
        <v>1</v>
      </c>
      <c r="F40" s="6">
        <f>D40 * VLOOKUP($A40, Platform_DB!$A:$M, 5, FALSE)</f>
        <v>0.6</v>
      </c>
      <c r="G40" s="6">
        <f>D40 * VLOOKUP($A40, Platform_DB!$A:$M, 6, FALSE)</f>
        <v>0.3</v>
      </c>
      <c r="H40" s="6">
        <f>D40 * VLOOKUP($A40, Platform_DB!$A:$M, 7, FALSE)</f>
        <v>0.6</v>
      </c>
      <c r="I40" s="6">
        <f>D40 * VLOOKUP($A40, Platform_DB!$A:$M, 8, FALSE)</f>
        <v>0.8</v>
      </c>
      <c r="J40" s="6">
        <f>D40 * VLOOKUP($A40, Platform_DB!$A:$M, 9, FALSE)</f>
        <v>0.1</v>
      </c>
      <c r="K40" s="6">
        <f>D40 * VLOOKUP($A40, Platform_DB!$A:$M, 10, FALSE)</f>
        <v>0.3</v>
      </c>
      <c r="L40" s="6">
        <f>D40 * VLOOKUP($A40, Platform_DB!$A:$M, 11, FALSE)</f>
        <v>0.5</v>
      </c>
      <c r="M40" s="6">
        <f>D40 * VLOOKUP($A40, Platform_DB!$A:$M, 12, FALSE)</f>
        <v>1</v>
      </c>
      <c r="N40" s="6">
        <f>D40 * VLOOKUP($A40, Platform_DB!$A:$M, 13, FALSE)</f>
        <v>0.4</v>
      </c>
      <c r="O40" s="3"/>
      <c r="P40" s="3"/>
      <c r="Q40" s="3"/>
      <c r="R40" s="3"/>
      <c r="S40" s="3"/>
      <c r="T40" s="3"/>
      <c r="U40" s="3"/>
      <c r="V40" s="3"/>
      <c r="W40" s="3"/>
    </row>
    <row r="41" spans="1:23" ht="36.6" thickBot="1" x14ac:dyDescent="0.35">
      <c r="A41" s="5" t="s">
        <v>95</v>
      </c>
      <c r="B41" s="6" t="str">
        <f>VLOOKUP(A41, Platform_DB!$A:$H, 3, FALSE)</f>
        <v>Team proficient at managing complex Kubernetes cluster topologies?</v>
      </c>
      <c r="C41" s="6" t="s">
        <v>121</v>
      </c>
      <c r="D41" s="6" cm="1">
        <f t="array" ref="D41">_xlfn.SWITCH(C41,"Critical",4,"High",2.5,"Medium",1,"Not Needed", 0)</f>
        <v>2.5</v>
      </c>
      <c r="E41" s="6">
        <f>D41 * VLOOKUP($A41, Platform_DB!$A:$M, 4, FALSE)</f>
        <v>0.25</v>
      </c>
      <c r="F41" s="6">
        <f>D41 * VLOOKUP($A41, Platform_DB!$A:$M, 5, FALSE)</f>
        <v>2.25</v>
      </c>
      <c r="G41" s="6">
        <f>D41 * VLOOKUP($A41, Platform_DB!$A:$M, 6, FALSE)</f>
        <v>2.5</v>
      </c>
      <c r="H41" s="6">
        <f>D41 * VLOOKUP($A41, Platform_DB!$A:$M, 7, FALSE)</f>
        <v>2.25</v>
      </c>
      <c r="I41" s="6">
        <f>D41 * VLOOKUP($A41, Platform_DB!$A:$M, 8, FALSE)</f>
        <v>0.75</v>
      </c>
      <c r="J41" s="6">
        <f>D41 * VLOOKUP($A41, Platform_DB!$A:$M, 9, FALSE)</f>
        <v>0.5</v>
      </c>
      <c r="K41" s="6">
        <f>D41 * VLOOKUP($A41, Platform_DB!$A:$M, 10, FALSE)</f>
        <v>1.25</v>
      </c>
      <c r="L41" s="6">
        <f>D41 * VLOOKUP($A41, Platform_DB!$A:$M, 11, FALSE)</f>
        <v>2</v>
      </c>
      <c r="M41" s="6">
        <f>D41 * VLOOKUP($A41, Platform_DB!$A:$M, 12, FALSE)</f>
        <v>0.25</v>
      </c>
      <c r="N41" s="6">
        <f>D41 * VLOOKUP($A41, Platform_DB!$A:$M, 13, FALSE)</f>
        <v>2.5</v>
      </c>
      <c r="O41" s="3"/>
      <c r="P41" s="3"/>
      <c r="Q41" s="3"/>
      <c r="R41" s="3"/>
      <c r="S41" s="3"/>
      <c r="T41" s="3"/>
      <c r="U41" s="3"/>
      <c r="V41" s="3"/>
      <c r="W41" s="3"/>
    </row>
    <row r="42" spans="1:23" ht="36.6" thickBot="1" x14ac:dyDescent="0.35">
      <c r="A42" s="5" t="s">
        <v>97</v>
      </c>
      <c r="B42" s="6" t="str">
        <f>VLOOKUP(A42, Platform_DB!$A:$H, 3, FALSE)</f>
        <v>Run OpenSearch/Elasticsearch as main enterprise analytical layer?</v>
      </c>
      <c r="C42" s="6" t="s">
        <v>121</v>
      </c>
      <c r="D42" s="6" cm="1">
        <f t="array" ref="D42">_xlfn.SWITCH(C42,"Critical",4,"High",2.5,"Medium",1,"Not Needed", 0)</f>
        <v>2.5</v>
      </c>
      <c r="E42" s="6">
        <f>D42 * VLOOKUP($A42, Platform_DB!$A:$M, 4, FALSE)</f>
        <v>0.25</v>
      </c>
      <c r="F42" s="6">
        <f>D42 * VLOOKUP($A42, Platform_DB!$A:$M, 5, FALSE)</f>
        <v>0.25</v>
      </c>
      <c r="G42" s="6">
        <f>D42 * VLOOKUP($A42, Platform_DB!$A:$M, 6, FALSE)</f>
        <v>0.25</v>
      </c>
      <c r="H42" s="6">
        <f>D42 * VLOOKUP($A42, Platform_DB!$A:$M, 7, FALSE)</f>
        <v>0.25</v>
      </c>
      <c r="I42" s="6">
        <f>D42 * VLOOKUP($A42, Platform_DB!$A:$M, 8, FALSE)</f>
        <v>0.25</v>
      </c>
      <c r="J42" s="6">
        <f>D42 * VLOOKUP($A42, Platform_DB!$A:$M, 9, FALSE)</f>
        <v>0.25</v>
      </c>
      <c r="K42" s="6">
        <f>D42 * VLOOKUP($A42, Platform_DB!$A:$M, 10, FALSE)</f>
        <v>0.25</v>
      </c>
      <c r="L42" s="6">
        <f>D42 * VLOOKUP($A42, Platform_DB!$A:$M, 11, FALSE)</f>
        <v>0.25</v>
      </c>
      <c r="M42" s="6">
        <f>D42 * VLOOKUP($A42, Platform_DB!$A:$M, 12, FALSE)</f>
        <v>0.25</v>
      </c>
      <c r="N42" s="6">
        <f>D42 * VLOOKUP($A42, Platform_DB!$A:$M, 13, FALSE)</f>
        <v>2.5</v>
      </c>
      <c r="O42" s="3"/>
      <c r="P42" s="3"/>
      <c r="Q42" s="3"/>
      <c r="R42" s="3"/>
      <c r="S42" s="3"/>
      <c r="T42" s="3"/>
      <c r="U42" s="3"/>
      <c r="V42" s="3"/>
      <c r="W42" s="3"/>
    </row>
    <row r="43" spans="1:23" ht="36.6" thickBot="1" x14ac:dyDescent="0.35">
      <c r="A43" s="5" t="s">
        <v>99</v>
      </c>
      <c r="B43" s="6" t="str">
        <f>VLOOKUP(A43, Platform_DB!$A:$H, 3, FALSE)</f>
        <v>Building a superfast basic RAG prototype within minutes?</v>
      </c>
      <c r="C43" s="6" t="s">
        <v>120</v>
      </c>
      <c r="D43" s="6" cm="1">
        <f t="array" ref="D43">_xlfn.SWITCH(C43,"Critical",4,"High",2.5,"Medium",1,"Not Needed", 0)</f>
        <v>1</v>
      </c>
      <c r="E43" s="6">
        <f>D43 * VLOOKUP($A43, Platform_DB!$A:$M, 4, FALSE)</f>
        <v>1</v>
      </c>
      <c r="F43" s="6">
        <f>D43 * VLOOKUP($A43, Platform_DB!$A:$M, 5, FALSE)</f>
        <v>0.9</v>
      </c>
      <c r="G43" s="6">
        <f>D43 * VLOOKUP($A43, Platform_DB!$A:$M, 6, FALSE)</f>
        <v>0.7</v>
      </c>
      <c r="H43" s="6">
        <f>D43 * VLOOKUP($A43, Platform_DB!$A:$M, 7, FALSE)</f>
        <v>0.8</v>
      </c>
      <c r="I43" s="6">
        <f>D43 * VLOOKUP($A43, Platform_DB!$A:$M, 8, FALSE)</f>
        <v>1</v>
      </c>
      <c r="J43" s="6">
        <f>D43 * VLOOKUP($A43, Platform_DB!$A:$M, 9, FALSE)</f>
        <v>0.4</v>
      </c>
      <c r="K43" s="6">
        <f>D43 * VLOOKUP($A43, Platform_DB!$A:$M, 10, FALSE)</f>
        <v>0.5</v>
      </c>
      <c r="L43" s="6">
        <f>D43 * VLOOKUP($A43, Platform_DB!$A:$M, 11, FALSE)</f>
        <v>0.6</v>
      </c>
      <c r="M43" s="6">
        <f>D43 * VLOOKUP($A43, Platform_DB!$A:$M, 12, FALSE)</f>
        <v>0.7</v>
      </c>
      <c r="N43" s="6">
        <f>D43 * VLOOKUP($A43, Platform_DB!$A:$M, 13, FALSE)</f>
        <v>0.5</v>
      </c>
      <c r="O43" s="3"/>
      <c r="P43" s="3"/>
      <c r="Q43" s="3"/>
      <c r="R43" s="3"/>
      <c r="S43" s="3"/>
      <c r="T43" s="3"/>
      <c r="U43" s="3"/>
      <c r="V43" s="3"/>
      <c r="W43" s="3"/>
    </row>
    <row r="44" spans="1:23" ht="36.6" thickBot="1" x14ac:dyDescent="0.35">
      <c r="A44" s="5" t="s">
        <v>102</v>
      </c>
      <c r="B44" s="6" t="str">
        <f>VLOOKUP(A44, Platform_DB!$A:$H, 3, FALSE)</f>
        <v>Require out-of-the-box native extensions for LangChain/LlamaIndex?</v>
      </c>
      <c r="C44" s="6" t="s">
        <v>120</v>
      </c>
      <c r="D44" s="6" cm="1">
        <f t="array" ref="D44">_xlfn.SWITCH(C44,"Critical",4,"High",2.5,"Medium",1,"Not Needed", 0)</f>
        <v>1</v>
      </c>
      <c r="E44" s="6">
        <f>D44 * VLOOKUP($A44, Platform_DB!$A:$M, 4, FALSE)</f>
        <v>1</v>
      </c>
      <c r="F44" s="6">
        <f>D44 * VLOOKUP($A44, Platform_DB!$A:$M, 5, FALSE)</f>
        <v>1</v>
      </c>
      <c r="G44" s="6">
        <f>D44 * VLOOKUP($A44, Platform_DB!$A:$M, 6, FALSE)</f>
        <v>1</v>
      </c>
      <c r="H44" s="6">
        <f>D44 * VLOOKUP($A44, Platform_DB!$A:$M, 7, FALSE)</f>
        <v>1</v>
      </c>
      <c r="I44" s="6">
        <f>D44 * VLOOKUP($A44, Platform_DB!$A:$M, 8, FALSE)</f>
        <v>1</v>
      </c>
      <c r="J44" s="6">
        <f>D44 * VLOOKUP($A44, Platform_DB!$A:$M, 9, FALSE)</f>
        <v>0.7</v>
      </c>
      <c r="K44" s="6">
        <f>D44 * VLOOKUP($A44, Platform_DB!$A:$M, 10, FALSE)</f>
        <v>0.8</v>
      </c>
      <c r="L44" s="6">
        <f>D44 * VLOOKUP($A44, Platform_DB!$A:$M, 11, FALSE)</f>
        <v>0.9</v>
      </c>
      <c r="M44" s="6">
        <f>D44 * VLOOKUP($A44, Platform_DB!$A:$M, 12, FALSE)</f>
        <v>0.6</v>
      </c>
      <c r="N44" s="6">
        <f>D44 * VLOOKUP($A44, Platform_DB!$A:$M, 13, FALSE)</f>
        <v>0.9</v>
      </c>
      <c r="O44" s="3"/>
      <c r="P44" s="3"/>
      <c r="Q44" s="3"/>
      <c r="R44" s="3"/>
      <c r="S44" s="3"/>
      <c r="T44" s="3"/>
      <c r="U44" s="3"/>
      <c r="V44" s="3"/>
      <c r="W44" s="3"/>
    </row>
    <row r="45" spans="1:23" ht="36.6" thickBot="1" x14ac:dyDescent="0.35">
      <c r="A45" s="5" t="s">
        <v>104</v>
      </c>
      <c r="B45" s="6" t="str">
        <f>VLOOKUP(A45, Platform_DB!$A:$H, 3, FALSE)</f>
        <v>Prefer simple Python function script pipelines over network requests?</v>
      </c>
      <c r="C45" s="6" t="s">
        <v>120</v>
      </c>
      <c r="D45" s="6" cm="1">
        <f t="array" ref="D45">_xlfn.SWITCH(C45,"Critical",4,"High",2.5,"Medium",1,"Not Needed", 0)</f>
        <v>1</v>
      </c>
      <c r="E45" s="6">
        <f>D45 * VLOOKUP($A45, Platform_DB!$A:$M, 4, FALSE)</f>
        <v>0.1</v>
      </c>
      <c r="F45" s="6">
        <f>D45 * VLOOKUP($A45, Platform_DB!$A:$M, 5, FALSE)</f>
        <v>0.1</v>
      </c>
      <c r="G45" s="6">
        <f>D45 * VLOOKUP($A45, Platform_DB!$A:$M, 6, FALSE)</f>
        <v>0.1</v>
      </c>
      <c r="H45" s="6">
        <f>D45 * VLOOKUP($A45, Platform_DB!$A:$M, 7, FALSE)</f>
        <v>0.1</v>
      </c>
      <c r="I45" s="6">
        <f>D45 * VLOOKUP($A45, Platform_DB!$A:$M, 8, FALSE)</f>
        <v>0.9</v>
      </c>
      <c r="J45" s="6">
        <f>D45 * VLOOKUP($A45, Platform_DB!$A:$M, 9, FALSE)</f>
        <v>1</v>
      </c>
      <c r="K45" s="6">
        <f>D45 * VLOOKUP($A45, Platform_DB!$A:$M, 10, FALSE)</f>
        <v>0.4</v>
      </c>
      <c r="L45" s="6">
        <f>D45 * VLOOKUP($A45, Platform_DB!$A:$M, 11, FALSE)</f>
        <v>0.1</v>
      </c>
      <c r="M45" s="6">
        <f>D45 * VLOOKUP($A45, Platform_DB!$A:$M, 12, FALSE)</f>
        <v>0.2</v>
      </c>
      <c r="N45" s="6">
        <f>D45 * VLOOKUP($A45, Platform_DB!$A:$M, 13, FALSE)</f>
        <v>0.1</v>
      </c>
      <c r="O45" s="3"/>
      <c r="P45" s="3"/>
      <c r="Q45" s="3"/>
      <c r="R45" s="3"/>
      <c r="S45" s="3"/>
      <c r="T45" s="3"/>
      <c r="U45" s="3"/>
      <c r="V45" s="3"/>
      <c r="W45" s="3"/>
    </row>
    <row r="46" spans="1:23" ht="36.6" thickBot="1" x14ac:dyDescent="0.35">
      <c r="A46" s="5" t="s">
        <v>106</v>
      </c>
      <c r="B46" s="6" t="str">
        <f>VLOOKUP(A46, Platform_DB!$A:$H, 3, FALSE)</f>
        <v>Want a built-in browser UI dashboard natively served?</v>
      </c>
      <c r="C46" s="6" t="s">
        <v>120</v>
      </c>
      <c r="D46" s="6" cm="1">
        <f t="array" ref="D46">_xlfn.SWITCH(C46,"Critical",4,"High",2.5,"Medium",1,"Not Needed", 0)</f>
        <v>1</v>
      </c>
      <c r="E46" s="6">
        <f>D46 * VLOOKUP($A46, Platform_DB!$A:$M, 4, FALSE)</f>
        <v>1</v>
      </c>
      <c r="F46" s="6">
        <f>D46 * VLOOKUP($A46, Platform_DB!$A:$M, 5, FALSE)</f>
        <v>0.7</v>
      </c>
      <c r="G46" s="6">
        <f>D46 * VLOOKUP($A46, Platform_DB!$A:$M, 6, FALSE)</f>
        <v>0.6</v>
      </c>
      <c r="H46" s="6">
        <f>D46 * VLOOKUP($A46, Platform_DB!$A:$M, 7, FALSE)</f>
        <v>1</v>
      </c>
      <c r="I46" s="6">
        <f>D46 * VLOOKUP($A46, Platform_DB!$A:$M, 8, FALSE)</f>
        <v>0.1</v>
      </c>
      <c r="J46" s="6">
        <f>D46 * VLOOKUP($A46, Platform_DB!$A:$M, 9, FALSE)</f>
        <v>0.1</v>
      </c>
      <c r="K46" s="6">
        <f>D46 * VLOOKUP($A46, Platform_DB!$A:$M, 10, FALSE)</f>
        <v>0.1</v>
      </c>
      <c r="L46" s="6">
        <f>D46 * VLOOKUP($A46, Platform_DB!$A:$M, 11, FALSE)</f>
        <v>0.9</v>
      </c>
      <c r="M46" s="6">
        <f>D46 * VLOOKUP($A46, Platform_DB!$A:$M, 12, FALSE)</f>
        <v>0.3</v>
      </c>
      <c r="N46" s="6">
        <f>D46 * VLOOKUP($A46, Platform_DB!$A:$M, 13, FALSE)</f>
        <v>0.9</v>
      </c>
      <c r="O46" s="3"/>
      <c r="P46" s="3"/>
      <c r="Q46" s="3"/>
      <c r="R46" s="3"/>
      <c r="S46" s="3"/>
      <c r="T46" s="3"/>
      <c r="U46" s="3"/>
      <c r="V46" s="3"/>
      <c r="W46" s="3"/>
    </row>
    <row r="47" spans="1:23" ht="36.6" thickBot="1" x14ac:dyDescent="0.35">
      <c r="A47" s="5" t="s">
        <v>108</v>
      </c>
      <c r="B47" s="6" t="str">
        <f>VLOOKUP(A47, Platform_DB!$A:$H, 3, FALSE)</f>
        <v>Developing client edge apps intended to operate on hardware?</v>
      </c>
      <c r="C47" s="6" t="s">
        <v>120</v>
      </c>
      <c r="D47" s="6" cm="1">
        <f t="array" ref="D47">_xlfn.SWITCH(C47,"Critical",4,"High",2.5,"Medium",1,"Not Needed", 0)</f>
        <v>1</v>
      </c>
      <c r="E47" s="6">
        <f>D47 * VLOOKUP($A47, Platform_DB!$A:$M, 4, FALSE)</f>
        <v>0.1</v>
      </c>
      <c r="F47" s="6">
        <f>D47 * VLOOKUP($A47, Platform_DB!$A:$M, 5, FALSE)</f>
        <v>0.2</v>
      </c>
      <c r="G47" s="6">
        <f>D47 * VLOOKUP($A47, Platform_DB!$A:$M, 6, FALSE)</f>
        <v>0.1</v>
      </c>
      <c r="H47" s="6">
        <f>D47 * VLOOKUP($A47, Platform_DB!$A:$M, 7, FALSE)</f>
        <v>0.3</v>
      </c>
      <c r="I47" s="6">
        <f>D47 * VLOOKUP($A47, Platform_DB!$A:$M, 8, FALSE)</f>
        <v>1</v>
      </c>
      <c r="J47" s="6">
        <f>D47 * VLOOKUP($A47, Platform_DB!$A:$M, 9, FALSE)</f>
        <v>0.8</v>
      </c>
      <c r="K47" s="6">
        <f>D47 * VLOOKUP($A47, Platform_DB!$A:$M, 10, FALSE)</f>
        <v>0.1</v>
      </c>
      <c r="L47" s="6">
        <f>D47 * VLOOKUP($A47, Platform_DB!$A:$M, 11, FALSE)</f>
        <v>0.1</v>
      </c>
      <c r="M47" s="6">
        <f>D47 * VLOOKUP($A47, Platform_DB!$A:$M, 12, FALSE)</f>
        <v>0.1</v>
      </c>
      <c r="N47" s="6">
        <f>D47 * VLOOKUP($A47, Platform_DB!$A:$M, 13, FALSE)</f>
        <v>0.1</v>
      </c>
      <c r="O47" s="3"/>
      <c r="P47" s="3"/>
      <c r="Q47" s="3"/>
      <c r="R47" s="3"/>
      <c r="S47" s="3"/>
      <c r="T47" s="3"/>
      <c r="U47" s="3"/>
      <c r="V47" s="3"/>
      <c r="W47" s="3"/>
    </row>
    <row r="48" spans="1:23" ht="36.6" thickBot="1" x14ac:dyDescent="0.35">
      <c r="A48" s="5" t="s">
        <v>110</v>
      </c>
      <c r="B48" s="6" t="str">
        <f>VLOOKUP(A48, Platform_DB!$A:$H, 3, FALSE)</f>
        <v>Want text chunking and automated embedding models in engine?</v>
      </c>
      <c r="C48" s="6" t="s">
        <v>120</v>
      </c>
      <c r="D48" s="6" cm="1">
        <f t="array" ref="D48">_xlfn.SWITCH(C48,"Critical",4,"High",2.5,"Medium",1,"Not Needed", 0)</f>
        <v>1</v>
      </c>
      <c r="E48" s="6">
        <f>D48 * VLOOKUP($A48, Platform_DB!$A:$M, 4, FALSE)</f>
        <v>0.4</v>
      </c>
      <c r="F48" s="6">
        <f>D48 * VLOOKUP($A48, Platform_DB!$A:$M, 5, FALSE)</f>
        <v>1</v>
      </c>
      <c r="G48" s="6">
        <f>D48 * VLOOKUP($A48, Platform_DB!$A:$M, 6, FALSE)</f>
        <v>0.8</v>
      </c>
      <c r="H48" s="6">
        <f>D48 * VLOOKUP($A48, Platform_DB!$A:$M, 7, FALSE)</f>
        <v>0.7</v>
      </c>
      <c r="I48" s="6">
        <f>D48 * VLOOKUP($A48, Platform_DB!$A:$M, 8, FALSE)</f>
        <v>0.3</v>
      </c>
      <c r="J48" s="6">
        <f>D48 * VLOOKUP($A48, Platform_DB!$A:$M, 9, FALSE)</f>
        <v>0.1</v>
      </c>
      <c r="K48" s="6">
        <f>D48 * VLOOKUP($A48, Platform_DB!$A:$M, 10, FALSE)</f>
        <v>0.2</v>
      </c>
      <c r="L48" s="6">
        <f>D48 * VLOOKUP($A48, Platform_DB!$A:$M, 11, FALSE)</f>
        <v>0.5</v>
      </c>
      <c r="M48" s="6">
        <f>D48 * VLOOKUP($A48, Platform_DB!$A:$M, 12, FALSE)</f>
        <v>0.1</v>
      </c>
      <c r="N48" s="6">
        <f>D48 * VLOOKUP($A48, Platform_DB!$A:$M, 13, FALSE)</f>
        <v>0.6</v>
      </c>
    </row>
    <row r="49" spans="1:14" ht="36.6" thickBot="1" x14ac:dyDescent="0.35">
      <c r="A49" s="5" t="s">
        <v>112</v>
      </c>
      <c r="B49" s="6" t="str">
        <f>VLOOKUP(A49, Platform_DB!$A:$H, 3, FALSE)</f>
        <v>Clean local debugging without running background Docker containers?</v>
      </c>
      <c r="C49" s="6" t="s">
        <v>120</v>
      </c>
      <c r="D49" s="6" cm="1">
        <f t="array" ref="D49">_xlfn.SWITCH(C49,"Critical",4,"High",2.5,"Medium",1,"Not Needed", 0)</f>
        <v>1</v>
      </c>
      <c r="E49" s="6">
        <f>D49 * VLOOKUP($A49, Platform_DB!$A:$M, 4, FALSE)</f>
        <v>0.1</v>
      </c>
      <c r="F49" s="6">
        <f>D49 * VLOOKUP($A49, Platform_DB!$A:$M, 5, FALSE)</f>
        <v>0.2</v>
      </c>
      <c r="G49" s="6">
        <f>D49 * VLOOKUP($A49, Platform_DB!$A:$M, 6, FALSE)</f>
        <v>0.2</v>
      </c>
      <c r="H49" s="6">
        <f>D49 * VLOOKUP($A49, Platform_DB!$A:$M, 7, FALSE)</f>
        <v>0.2</v>
      </c>
      <c r="I49" s="6">
        <f>D49 * VLOOKUP($A49, Platform_DB!$A:$M, 8, FALSE)</f>
        <v>1</v>
      </c>
      <c r="J49" s="6">
        <f>D49 * VLOOKUP($A49, Platform_DB!$A:$M, 9, FALSE)</f>
        <v>1</v>
      </c>
      <c r="K49" s="6">
        <f>D49 * VLOOKUP($A49, Platform_DB!$A:$M, 10, FALSE)</f>
        <v>0.4</v>
      </c>
      <c r="L49" s="6">
        <f>D49 * VLOOKUP($A49, Platform_DB!$A:$M, 11, FALSE)</f>
        <v>0.2</v>
      </c>
      <c r="M49" s="6">
        <f>D49 * VLOOKUP($A49, Platform_DB!$A:$M, 12, FALSE)</f>
        <v>0.3</v>
      </c>
      <c r="N49" s="6">
        <f>D49 * VLOOKUP($A49, Platform_DB!$A:$M, 13, FALSE)</f>
        <v>0.1</v>
      </c>
    </row>
    <row r="50" spans="1:14" ht="36.6" thickBot="1" x14ac:dyDescent="0.35">
      <c r="A50" s="5" t="s">
        <v>114</v>
      </c>
      <c r="B50" s="6" t="str">
        <f>VLOOKUP(A50, Platform_DB!$A:$H, 3, FALSE)</f>
        <v>Require fine-grained Role-Based Access Controls (RBAC)?</v>
      </c>
      <c r="C50" s="6" t="s">
        <v>120</v>
      </c>
      <c r="D50" s="6" cm="1">
        <f t="array" ref="D50">_xlfn.SWITCH(C50,"Critical",4,"High",2.5,"Medium",1,"Not Needed", 0)</f>
        <v>1</v>
      </c>
      <c r="E50" s="6">
        <f>D50 * VLOOKUP($A50, Platform_DB!$A:$M, 4, FALSE)</f>
        <v>1</v>
      </c>
      <c r="F50" s="6">
        <f>D50 * VLOOKUP($A50, Platform_DB!$A:$M, 5, FALSE)</f>
        <v>0.8</v>
      </c>
      <c r="G50" s="6">
        <f>D50 * VLOOKUP($A50, Platform_DB!$A:$M, 6, FALSE)</f>
        <v>1</v>
      </c>
      <c r="H50" s="6">
        <f>D50 * VLOOKUP($A50, Platform_DB!$A:$M, 7, FALSE)</f>
        <v>0.9</v>
      </c>
      <c r="I50" s="6">
        <f>D50 * VLOOKUP($A50, Platform_DB!$A:$M, 8, FALSE)</f>
        <v>0.1</v>
      </c>
      <c r="J50" s="6">
        <f>D50 * VLOOKUP($A50, Platform_DB!$A:$M, 9, FALSE)</f>
        <v>0.1</v>
      </c>
      <c r="K50" s="6">
        <f>D50 * VLOOKUP($A50, Platform_DB!$A:$M, 10, FALSE)</f>
        <v>0.8</v>
      </c>
      <c r="L50" s="6">
        <f>D50 * VLOOKUP($A50, Platform_DB!$A:$M, 11, FALSE)</f>
        <v>1</v>
      </c>
      <c r="M50" s="6">
        <f>D50 * VLOOKUP($A50, Platform_DB!$A:$M, 12, FALSE)</f>
        <v>0.5</v>
      </c>
      <c r="N50" s="6">
        <f>D50 * VLOOKUP($A50, Platform_DB!$A:$M, 13, FALSE)</f>
        <v>1</v>
      </c>
    </row>
    <row r="51" spans="1:14" ht="36" x14ac:dyDescent="0.3">
      <c r="A51" s="6" t="s">
        <v>116</v>
      </c>
      <c r="B51" s="6" t="str">
        <f>VLOOKUP(A51, Platform_DB!$A:$H, 3, FALSE)</f>
        <v>Require state-of-the-art native graph-vector routing?</v>
      </c>
      <c r="C51" s="6" t="s">
        <v>121</v>
      </c>
      <c r="D51" s="6" cm="1">
        <f t="array" ref="D51">_xlfn.SWITCH(C51,"Critical",4,"High",2.5,"Medium",1,"Not Needed", 0)</f>
        <v>2.5</v>
      </c>
      <c r="E51" s="6">
        <f>D51 * VLOOKUP($A51, Platform_DB!$A:$M, 4, FALSE)</f>
        <v>2</v>
      </c>
      <c r="F51" s="6">
        <f>D51 * VLOOKUP($A51, Platform_DB!$A:$M, 5, FALSE)</f>
        <v>2.5</v>
      </c>
      <c r="G51" s="6">
        <f>D51 * VLOOKUP($A51, Platform_DB!$A:$M, 6, FALSE)</f>
        <v>2.25</v>
      </c>
      <c r="H51" s="6">
        <f>D51 * VLOOKUP($A51, Platform_DB!$A:$M, 7, FALSE)</f>
        <v>2.25</v>
      </c>
      <c r="I51" s="6">
        <f>D51 * VLOOKUP($A51, Platform_DB!$A:$M, 8, FALSE)</f>
        <v>1.25</v>
      </c>
      <c r="J51" s="6">
        <f>D51 * VLOOKUP($A51, Platform_DB!$A:$M, 9, FALSE)</f>
        <v>0.5</v>
      </c>
      <c r="K51" s="6">
        <f>D51 * VLOOKUP($A51, Platform_DB!$A:$M, 10, FALSE)</f>
        <v>1</v>
      </c>
      <c r="L51" s="6">
        <f>D51 * VLOOKUP($A51, Platform_DB!$A:$M, 11, FALSE)</f>
        <v>1.75</v>
      </c>
      <c r="M51" s="6">
        <f>D51 * VLOOKUP($A51, Platform_DB!$A:$M, 12, FALSE)</f>
        <v>1.5</v>
      </c>
      <c r="N51" s="6">
        <f>D51 * VLOOKUP($A51, Platform_DB!$A:$M, 13, FALSE)</f>
        <v>2</v>
      </c>
    </row>
    <row r="52" spans="1:14" ht="36.6" thickBot="1" x14ac:dyDescent="0.35">
      <c r="A52" s="8" t="s">
        <v>126</v>
      </c>
      <c r="B52" s="6" t="str">
        <f>VLOOKUP(A52, Platform_DB!$A:$H, 3, FALSE)</f>
        <v>Require automated cluster scaling up/down based on traffic load?</v>
      </c>
      <c r="C52" s="6" t="s">
        <v>120</v>
      </c>
      <c r="D52" s="6" cm="1">
        <f t="array" ref="D52">_xlfn.SWITCH(C52,"Critical",4,"High",2.5,"Medium",1,"Not Needed", 0)</f>
        <v>1</v>
      </c>
      <c r="E52" s="6">
        <f>D52 * VLOOKUP($A52, Platform_DB!$A:$M, 4, FALSE)</f>
        <v>1</v>
      </c>
      <c r="F52" s="6">
        <f>D52 * VLOOKUP($A52, Platform_DB!$A:$M, 5, FALSE)</f>
        <v>0.8</v>
      </c>
      <c r="G52" s="6">
        <f>D52 * VLOOKUP($A52, Platform_DB!$A:$M, 6, FALSE)</f>
        <v>0.9</v>
      </c>
      <c r="H52" s="6">
        <f>D52 * VLOOKUP($A52, Platform_DB!$A:$M, 7, FALSE)</f>
        <v>0.9</v>
      </c>
      <c r="I52" s="6">
        <f>D52 * VLOOKUP($A52, Platform_DB!$A:$M, 8, FALSE)</f>
        <v>0.2</v>
      </c>
      <c r="J52" s="6">
        <f>D52 * VLOOKUP($A52, Platform_DB!$A:$M, 9, FALSE)</f>
        <v>0.1</v>
      </c>
      <c r="K52" s="6">
        <f>D52 * VLOOKUP($A52, Platform_DB!$A:$M, 10, FALSE)</f>
        <v>0.4</v>
      </c>
      <c r="L52" s="6">
        <f>D52 * VLOOKUP($A52, Platform_DB!$A:$M, 11, FALSE)</f>
        <v>0.8</v>
      </c>
      <c r="M52" s="6">
        <f>D52 * VLOOKUP($A52, Platform_DB!$A:$M, 12, FALSE)</f>
        <v>1</v>
      </c>
      <c r="N52" s="6">
        <f>D52 * VLOOKUP($A52, Platform_DB!$A:$M, 13, FALSE)</f>
        <v>0.8</v>
      </c>
    </row>
    <row r="53" spans="1:14" ht="36.6" thickBot="1" x14ac:dyDescent="0.35">
      <c r="A53" s="8" t="s">
        <v>128</v>
      </c>
      <c r="B53" s="6" t="str">
        <f>VLOOKUP(A53, Platform_DB!$A:$H, 3, FALSE)</f>
        <v>Need to avoid vector dimension licensing caps or cost tiers?</v>
      </c>
      <c r="C53" s="6" t="s">
        <v>123</v>
      </c>
      <c r="D53" s="6" cm="1">
        <f t="array" ref="D53">_xlfn.SWITCH(C53,"Critical",4,"High",2.5,"Medium",1,"Not Needed", 0)</f>
        <v>4</v>
      </c>
      <c r="E53" s="6">
        <f>D53 * VLOOKUP($A53, Platform_DB!$A:$M, 4, FALSE)</f>
        <v>1.6</v>
      </c>
      <c r="F53" s="6">
        <f>D53 * VLOOKUP($A53, Platform_DB!$A:$M, 5, FALSE)</f>
        <v>4</v>
      </c>
      <c r="G53" s="6">
        <f>D53 * VLOOKUP($A53, Platform_DB!$A:$M, 6, FALSE)</f>
        <v>4</v>
      </c>
      <c r="H53" s="6">
        <f>D53 * VLOOKUP($A53, Platform_DB!$A:$M, 7, FALSE)</f>
        <v>4</v>
      </c>
      <c r="I53" s="6">
        <f>D53 * VLOOKUP($A53, Platform_DB!$A:$M, 8, FALSE)</f>
        <v>4</v>
      </c>
      <c r="J53" s="6">
        <f>D53 * VLOOKUP($A53, Platform_DB!$A:$M, 9, FALSE)</f>
        <v>4</v>
      </c>
      <c r="K53" s="6">
        <f>D53 * VLOOKUP($A53, Platform_DB!$A:$M, 10, FALSE)</f>
        <v>4</v>
      </c>
      <c r="L53" s="6">
        <f>D53 * VLOOKUP($A53, Platform_DB!$A:$M, 11, FALSE)</f>
        <v>3.6</v>
      </c>
      <c r="M53" s="6">
        <f>D53 * VLOOKUP($A53, Platform_DB!$A:$M, 12, FALSE)</f>
        <v>2.4</v>
      </c>
      <c r="N53" s="6">
        <f>D53 * VLOOKUP($A53, Platform_DB!$A:$M, 13, FALSE)</f>
        <v>3.6</v>
      </c>
    </row>
    <row r="54" spans="1:14" ht="36.6" thickBot="1" x14ac:dyDescent="0.35">
      <c r="A54" s="8" t="s">
        <v>130</v>
      </c>
      <c r="B54" s="6" t="str">
        <f>VLOOKUP(A54, Platform_DB!$A:$H, 3, FALSE)</f>
        <v>Do you require native deployment blueprints for AWS GovCloud?</v>
      </c>
      <c r="C54" s="6" t="s">
        <v>124</v>
      </c>
      <c r="D54" s="6" cm="1">
        <f t="array" ref="D54">_xlfn.SWITCH(C54,"Critical",4,"High",2.5,"Medium",1,"Not Needed", 0)</f>
        <v>0</v>
      </c>
      <c r="E54" s="6">
        <f>D54 * VLOOKUP($A54, Platform_DB!$A:$M, 4, FALSE)</f>
        <v>0</v>
      </c>
      <c r="F54" s="6">
        <f>D54 * VLOOKUP($A54, Platform_DB!$A:$M, 5, FALSE)</f>
        <v>0</v>
      </c>
      <c r="G54" s="6">
        <f>D54 * VLOOKUP($A54, Platform_DB!$A:$M, 6, FALSE)</f>
        <v>0</v>
      </c>
      <c r="H54" s="6">
        <f>D54 * VLOOKUP($A54, Platform_DB!$A:$M, 7, FALSE)</f>
        <v>0</v>
      </c>
      <c r="I54" s="6">
        <f>D54 * VLOOKUP($A54, Platform_DB!$A:$M, 8, FALSE)</f>
        <v>0</v>
      </c>
      <c r="J54" s="6">
        <f>D54 * VLOOKUP($A54, Platform_DB!$A:$M, 9, FALSE)</f>
        <v>0</v>
      </c>
      <c r="K54" s="6">
        <f>D54 * VLOOKUP($A54, Platform_DB!$A:$M, 10, FALSE)</f>
        <v>0</v>
      </c>
      <c r="L54" s="6">
        <f>D54 * VLOOKUP($A54, Platform_DB!$A:$M, 11, FALSE)</f>
        <v>0</v>
      </c>
      <c r="M54" s="6">
        <f>D54 * VLOOKUP($A54, Platform_DB!$A:$M, 12, FALSE)</f>
        <v>0</v>
      </c>
      <c r="N54" s="6">
        <f>D54 * VLOOKUP($A54, Platform_DB!$A:$M, 13, FALSE)</f>
        <v>0</v>
      </c>
    </row>
    <row r="55" spans="1:14" ht="36.6" thickBot="1" x14ac:dyDescent="0.35">
      <c r="A55" s="8" t="s">
        <v>132</v>
      </c>
      <c r="B55" s="6" t="str">
        <f>VLOOKUP(A55, Platform_DB!$A:$H, 3, FALSE)</f>
        <v>Is a zero-base-cost, local Docker development environment mandatory?</v>
      </c>
      <c r="C55" s="6" t="s">
        <v>124</v>
      </c>
      <c r="D55" s="6" cm="1">
        <f t="array" ref="D55">_xlfn.SWITCH(C55,"Critical",4,"High",2.5,"Medium",1,"Not Needed", 0)</f>
        <v>0</v>
      </c>
      <c r="E55" s="6">
        <f>D55 * VLOOKUP($A55, Platform_DB!$A:$M, 4, FALSE)</f>
        <v>0</v>
      </c>
      <c r="F55" s="6">
        <f>D55 * VLOOKUP($A55, Platform_DB!$A:$M, 5, FALSE)</f>
        <v>0</v>
      </c>
      <c r="G55" s="6">
        <f>D55 * VLOOKUP($A55, Platform_DB!$A:$M, 6, FALSE)</f>
        <v>0</v>
      </c>
      <c r="H55" s="6">
        <f>D55 * VLOOKUP($A55, Platform_DB!$A:$M, 7, FALSE)</f>
        <v>0</v>
      </c>
      <c r="I55" s="6">
        <f>D55 * VLOOKUP($A55, Platform_DB!$A:$M, 8, FALSE)</f>
        <v>0</v>
      </c>
      <c r="J55" s="6">
        <f>D55 * VLOOKUP($A55, Platform_DB!$A:$M, 9, FALSE)</f>
        <v>0</v>
      </c>
      <c r="K55" s="6">
        <f>D55 * VLOOKUP($A55, Platform_DB!$A:$M, 10, FALSE)</f>
        <v>0</v>
      </c>
      <c r="L55" s="6">
        <f>D55 * VLOOKUP($A55, Platform_DB!$A:$M, 11, FALSE)</f>
        <v>0</v>
      </c>
      <c r="M55" s="6">
        <f>D55 * VLOOKUP($A55, Platform_DB!$A:$M, 12, FALSE)</f>
        <v>0</v>
      </c>
      <c r="N55" s="6">
        <f>D55 * VLOOKUP($A55, Platform_DB!$A:$M, 13, FALSE)</f>
        <v>0</v>
      </c>
    </row>
    <row r="56" spans="1:14" ht="36.6" thickBot="1" x14ac:dyDescent="0.35">
      <c r="A56" s="8" t="s">
        <v>134</v>
      </c>
      <c r="B56" s="6" t="str">
        <f>VLOOKUP(A56, Platform_DB!$A:$H, 3, FALSE)</f>
        <v>Need strict control over raw computing instance and storage types?</v>
      </c>
      <c r="C56" s="6" t="s">
        <v>120</v>
      </c>
      <c r="D56" s="6" cm="1">
        <f t="array" ref="D56">_xlfn.SWITCH(C56,"Critical",4,"High",2.5,"Medium",1,"Not Needed", 0)</f>
        <v>1</v>
      </c>
      <c r="E56" s="6">
        <f>D56 * VLOOKUP($A56, Platform_DB!$A:$M, 4, FALSE)</f>
        <v>0.1</v>
      </c>
      <c r="F56" s="6">
        <f>D56 * VLOOKUP($A56, Platform_DB!$A:$M, 5, FALSE)</f>
        <v>0.9</v>
      </c>
      <c r="G56" s="6">
        <f>D56 * VLOOKUP($A56, Platform_DB!$A:$M, 6, FALSE)</f>
        <v>1</v>
      </c>
      <c r="H56" s="6">
        <f>D56 * VLOOKUP($A56, Platform_DB!$A:$M, 7, FALSE)</f>
        <v>1</v>
      </c>
      <c r="I56" s="6">
        <f>D56 * VLOOKUP($A56, Platform_DB!$A:$M, 8, FALSE)</f>
        <v>0.6</v>
      </c>
      <c r="J56" s="6">
        <f>D56 * VLOOKUP($A56, Platform_DB!$A:$M, 9, FALSE)</f>
        <v>0.8</v>
      </c>
      <c r="K56" s="6">
        <f>D56 * VLOOKUP($A56, Platform_DB!$A:$M, 10, FALSE)</f>
        <v>0.9</v>
      </c>
      <c r="L56" s="6">
        <f>D56 * VLOOKUP($A56, Platform_DB!$A:$M, 11, FALSE)</f>
        <v>0.7</v>
      </c>
      <c r="M56" s="6">
        <f>D56 * VLOOKUP($A56, Platform_DB!$A:$M, 12, FALSE)</f>
        <v>0.1</v>
      </c>
      <c r="N56" s="6">
        <f>D56 * VLOOKUP($A56, Platform_DB!$A:$M, 13, FALSE)</f>
        <v>0.9</v>
      </c>
    </row>
    <row r="57" spans="1:14" ht="36.6" thickBot="1" x14ac:dyDescent="0.35">
      <c r="A57" s="8" t="s">
        <v>136</v>
      </c>
      <c r="B57" s="6" t="str">
        <f>VLOOKUP(A57, Platform_DB!$A:$H, 3, FALSE)</f>
        <v>Require single-tenant dedicated instances rather than shared infra?</v>
      </c>
      <c r="C57" s="6" t="s">
        <v>120</v>
      </c>
      <c r="D57" s="6" cm="1">
        <f t="array" ref="D57">_xlfn.SWITCH(C57,"Critical",4,"High",2.5,"Medium",1,"Not Needed", 0)</f>
        <v>1</v>
      </c>
      <c r="E57" s="6">
        <f>D57 * VLOOKUP($A57, Platform_DB!$A:$M, 4, FALSE)</f>
        <v>1</v>
      </c>
      <c r="F57" s="6">
        <f>D57 * VLOOKUP($A57, Platform_DB!$A:$M, 5, FALSE)</f>
        <v>0.9</v>
      </c>
      <c r="G57" s="6">
        <f>D57 * VLOOKUP($A57, Platform_DB!$A:$M, 6, FALSE)</f>
        <v>0.9</v>
      </c>
      <c r="H57" s="6">
        <f>D57 * VLOOKUP($A57, Platform_DB!$A:$M, 7, FALSE)</f>
        <v>0.9</v>
      </c>
      <c r="I57" s="6">
        <f>D57 * VLOOKUP($A57, Platform_DB!$A:$M, 8, FALSE)</f>
        <v>0.1</v>
      </c>
      <c r="J57" s="6">
        <f>D57 * VLOOKUP($A57, Platform_DB!$A:$M, 9, FALSE)</f>
        <v>0.1</v>
      </c>
      <c r="K57" s="6">
        <f>D57 * VLOOKUP($A57, Platform_DB!$A:$M, 10, FALSE)</f>
        <v>0.5</v>
      </c>
      <c r="L57" s="6">
        <f>D57 * VLOOKUP($A57, Platform_DB!$A:$M, 11, FALSE)</f>
        <v>0.9</v>
      </c>
      <c r="M57" s="6">
        <f>D57 * VLOOKUP($A57, Platform_DB!$A:$M, 12, FALSE)</f>
        <v>0.6</v>
      </c>
      <c r="N57" s="6">
        <f>D57 * VLOOKUP($A57, Platform_DB!$A:$M, 13, FALSE)</f>
        <v>0.9</v>
      </c>
    </row>
    <row r="58" spans="1:14" ht="36.6" thickBot="1" x14ac:dyDescent="0.35">
      <c r="A58" s="8" t="s">
        <v>138</v>
      </c>
      <c r="B58" s="6" t="str">
        <f>VLOOKUP(A58, Platform_DB!$A:$H, 3, FALSE)</f>
        <v>Need explicit data residency guarantees for specific EU/APAC regions?</v>
      </c>
      <c r="C58" s="6" t="s">
        <v>124</v>
      </c>
      <c r="D58" s="6" cm="1">
        <f t="array" ref="D58">_xlfn.SWITCH(C58,"Critical",4,"High",2.5,"Medium",1,"Not Needed", 0)</f>
        <v>0</v>
      </c>
      <c r="E58" s="6">
        <f>D58 * VLOOKUP($A58, Platform_DB!$A:$M, 4, FALSE)</f>
        <v>0</v>
      </c>
      <c r="F58" s="6">
        <f>D58 * VLOOKUP($A58, Platform_DB!$A:$M, 5, FALSE)</f>
        <v>0</v>
      </c>
      <c r="G58" s="6">
        <f>D58 * VLOOKUP($A58, Platform_DB!$A:$M, 6, FALSE)</f>
        <v>0</v>
      </c>
      <c r="H58" s="6">
        <f>D58 * VLOOKUP($A58, Platform_DB!$A:$M, 7, FALSE)</f>
        <v>0</v>
      </c>
      <c r="I58" s="6">
        <f>D58 * VLOOKUP($A58, Platform_DB!$A:$M, 8, FALSE)</f>
        <v>0</v>
      </c>
      <c r="J58" s="6">
        <f>D58 * VLOOKUP($A58, Platform_DB!$A:$M, 9, FALSE)</f>
        <v>0</v>
      </c>
      <c r="K58" s="6">
        <f>D58 * VLOOKUP($A58, Platform_DB!$A:$M, 10, FALSE)</f>
        <v>0</v>
      </c>
      <c r="L58" s="6">
        <f>D58 * VLOOKUP($A58, Platform_DB!$A:$M, 11, FALSE)</f>
        <v>0</v>
      </c>
      <c r="M58" s="6">
        <f>D58 * VLOOKUP($A58, Platform_DB!$A:$M, 12, FALSE)</f>
        <v>0</v>
      </c>
      <c r="N58" s="6">
        <f>D58 * VLOOKUP($A58, Platform_DB!$A:$M, 13, FALSE)</f>
        <v>0</v>
      </c>
    </row>
    <row r="59" spans="1:14" ht="36.6" thickBot="1" x14ac:dyDescent="0.35">
      <c r="A59" s="8" t="s">
        <v>140</v>
      </c>
      <c r="B59" s="6" t="str">
        <f>VLOOKUP(A59, Platform_DB!$A:$H, 3, FALSE)</f>
        <v>Require automated, managed index backup and snapshot scheduling?</v>
      </c>
      <c r="C59" s="6" t="s">
        <v>121</v>
      </c>
      <c r="D59" s="6" cm="1">
        <f t="array" ref="D59">_xlfn.SWITCH(C59,"Critical",4,"High",2.5,"Medium",1,"Not Needed", 0)</f>
        <v>2.5</v>
      </c>
      <c r="E59" s="6">
        <f>D59 * VLOOKUP($A59, Platform_DB!$A:$M, 4, FALSE)</f>
        <v>2.5</v>
      </c>
      <c r="F59" s="6">
        <f>D59 * VLOOKUP($A59, Platform_DB!$A:$M, 5, FALSE)</f>
        <v>2</v>
      </c>
      <c r="G59" s="6">
        <f>D59 * VLOOKUP($A59, Platform_DB!$A:$M, 6, FALSE)</f>
        <v>2.25</v>
      </c>
      <c r="H59" s="6">
        <f>D59 * VLOOKUP($A59, Platform_DB!$A:$M, 7, FALSE)</f>
        <v>2.25</v>
      </c>
      <c r="I59" s="6">
        <f>D59 * VLOOKUP($A59, Platform_DB!$A:$M, 8, FALSE)</f>
        <v>0.5</v>
      </c>
      <c r="J59" s="6">
        <f>D59 * VLOOKUP($A59, Platform_DB!$A:$M, 9, FALSE)</f>
        <v>0.25</v>
      </c>
      <c r="K59" s="6">
        <f>D59 * VLOOKUP($A59, Platform_DB!$A:$M, 10, FALSE)</f>
        <v>2</v>
      </c>
      <c r="L59" s="6">
        <f>D59 * VLOOKUP($A59, Platform_DB!$A:$M, 11, FALSE)</f>
        <v>2.5</v>
      </c>
      <c r="M59" s="6">
        <f>D59 * VLOOKUP($A59, Platform_DB!$A:$M, 12, FALSE)</f>
        <v>2</v>
      </c>
      <c r="N59" s="6">
        <f>D59 * VLOOKUP($A59, Platform_DB!$A:$M, 13, FALSE)</f>
        <v>2.5</v>
      </c>
    </row>
    <row r="60" spans="1:14" ht="36.6" thickBot="1" x14ac:dyDescent="0.35">
      <c r="A60" s="8" t="s">
        <v>142</v>
      </c>
      <c r="B60" s="6" t="str">
        <f>VLOOKUP(A60, Platform_DB!$A:$H, 3, FALSE)</f>
        <v>Do you want flat, highly predictable SaaS pricing tiers?</v>
      </c>
      <c r="C60" s="6" t="s">
        <v>121</v>
      </c>
      <c r="D60" s="6" cm="1">
        <f t="array" ref="D60">_xlfn.SWITCH(C60,"Critical",4,"High",2.5,"Medium",1,"Not Needed", 0)</f>
        <v>2.5</v>
      </c>
      <c r="E60" s="6">
        <f>D60 * VLOOKUP($A60, Platform_DB!$A:$M, 4, FALSE)</f>
        <v>1.25</v>
      </c>
      <c r="F60" s="6">
        <f>D60 * VLOOKUP($A60, Platform_DB!$A:$M, 5, FALSE)</f>
        <v>2</v>
      </c>
      <c r="G60" s="6">
        <f>D60 * VLOOKUP($A60, Platform_DB!$A:$M, 6, FALSE)</f>
        <v>1.75</v>
      </c>
      <c r="H60" s="6">
        <f>D60 * VLOOKUP($A60, Platform_DB!$A:$M, 7, FALSE)</f>
        <v>2</v>
      </c>
      <c r="I60" s="6">
        <f>D60 * VLOOKUP($A60, Platform_DB!$A:$M, 8, FALSE)</f>
        <v>0.75</v>
      </c>
      <c r="J60" s="6">
        <f>D60 * VLOOKUP($A60, Platform_DB!$A:$M, 9, FALSE)</f>
        <v>0.25</v>
      </c>
      <c r="K60" s="6">
        <f>D60 * VLOOKUP($A60, Platform_DB!$A:$M, 10, FALSE)</f>
        <v>0.5</v>
      </c>
      <c r="L60" s="6">
        <f>D60 * VLOOKUP($A60, Platform_DB!$A:$M, 11, FALSE)</f>
        <v>1.25</v>
      </c>
      <c r="M60" s="6">
        <f>D60 * VLOOKUP($A60, Platform_DB!$A:$M, 12, FALSE)</f>
        <v>2.5</v>
      </c>
      <c r="N60" s="6">
        <f>D60 * VLOOKUP($A60, Platform_DB!$A:$M, 13, FALSE)</f>
        <v>1</v>
      </c>
    </row>
    <row r="61" spans="1:14" ht="36.6" thickBot="1" x14ac:dyDescent="0.35">
      <c r="A61" s="8" t="s">
        <v>144</v>
      </c>
      <c r="B61" s="6" t="str">
        <f>VLOOKUP(A61, Platform_DB!$A:$H, 3, FALSE)</f>
        <v>Is a robust, production-tested C# / .NET SDK critical for your app?</v>
      </c>
      <c r="C61" s="6" t="s">
        <v>124</v>
      </c>
      <c r="D61" s="6" cm="1">
        <f t="array" ref="D61">_xlfn.SWITCH(C61,"Critical",4,"High",2.5,"Medium",1,"Not Needed", 0)</f>
        <v>0</v>
      </c>
      <c r="E61" s="6">
        <f>D61 * VLOOKUP($A61, Platform_DB!$A:$M, 4, FALSE)</f>
        <v>0</v>
      </c>
      <c r="F61" s="6">
        <f>D61 * VLOOKUP($A61, Platform_DB!$A:$M, 5, FALSE)</f>
        <v>0</v>
      </c>
      <c r="G61" s="6">
        <f>D61 * VLOOKUP($A61, Platform_DB!$A:$M, 6, FALSE)</f>
        <v>0</v>
      </c>
      <c r="H61" s="6">
        <f>D61 * VLOOKUP($A61, Platform_DB!$A:$M, 7, FALSE)</f>
        <v>0</v>
      </c>
      <c r="I61" s="6">
        <f>D61 * VLOOKUP($A61, Platform_DB!$A:$M, 8, FALSE)</f>
        <v>0</v>
      </c>
      <c r="J61" s="6">
        <f>D61 * VLOOKUP($A61, Platform_DB!$A:$M, 9, FALSE)</f>
        <v>0</v>
      </c>
      <c r="K61" s="6">
        <f>D61 * VLOOKUP($A61, Platform_DB!$A:$M, 10, FALSE)</f>
        <v>0</v>
      </c>
      <c r="L61" s="6">
        <f>D61 * VLOOKUP($A61, Platform_DB!$A:$M, 11, FALSE)</f>
        <v>0</v>
      </c>
      <c r="M61" s="6">
        <f>D61 * VLOOKUP($A61, Platform_DB!$A:$M, 12, FALSE)</f>
        <v>0</v>
      </c>
      <c r="N61" s="6">
        <f>D61 * VLOOKUP($A61, Platform_DB!$A:$M, 13, FALSE)</f>
        <v>0</v>
      </c>
    </row>
    <row r="62" spans="1:14" ht="36.6" thickBot="1" x14ac:dyDescent="0.35">
      <c r="A62" s="8" t="s">
        <v>146</v>
      </c>
      <c r="B62" s="6" t="str">
        <f>VLOOKUP(A62, Platform_DB!$A:$H, 3, FALSE)</f>
        <v>Do you require full native support for Rust-based clients?</v>
      </c>
      <c r="C62" s="6" t="s">
        <v>120</v>
      </c>
      <c r="D62" s="6" cm="1">
        <f t="array" ref="D62">_xlfn.SWITCH(C62,"Critical",4,"High",2.5,"Medium",1,"Not Needed", 0)</f>
        <v>1</v>
      </c>
      <c r="E62" s="6">
        <f>D62 * VLOOKUP($A62, Platform_DB!$A:$M, 4, FALSE)</f>
        <v>0.5</v>
      </c>
      <c r="F62" s="6">
        <f>D62 * VLOOKUP($A62, Platform_DB!$A:$M, 5, FALSE)</f>
        <v>0.8</v>
      </c>
      <c r="G62" s="6">
        <f>D62 * VLOOKUP($A62, Platform_DB!$A:$M, 6, FALSE)</f>
        <v>0.7</v>
      </c>
      <c r="H62" s="6">
        <f>D62 * VLOOKUP($A62, Platform_DB!$A:$M, 7, FALSE)</f>
        <v>1</v>
      </c>
      <c r="I62" s="6">
        <f>D62 * VLOOKUP($A62, Platform_DB!$A:$M, 8, FALSE)</f>
        <v>0.4</v>
      </c>
      <c r="J62" s="6">
        <f>D62 * VLOOKUP($A62, Platform_DB!$A:$M, 9, FALSE)</f>
        <v>0.1</v>
      </c>
      <c r="K62" s="6">
        <f>D62 * VLOOKUP($A62, Platform_DB!$A:$M, 10, FALSE)</f>
        <v>0.4</v>
      </c>
      <c r="L62" s="6">
        <f>D62 * VLOOKUP($A62, Platform_DB!$A:$M, 11, FALSE)</f>
        <v>0.5</v>
      </c>
      <c r="M62" s="6">
        <f>D62 * VLOOKUP($A62, Platform_DB!$A:$M, 12, FALSE)</f>
        <v>1</v>
      </c>
      <c r="N62" s="6">
        <f>D62 * VLOOKUP($A62, Platform_DB!$A:$M, 13, FALSE)</f>
        <v>0.4</v>
      </c>
    </row>
    <row r="63" spans="1:14" ht="36.6" thickBot="1" x14ac:dyDescent="0.35">
      <c r="A63" s="8" t="s">
        <v>148</v>
      </c>
      <c r="B63" s="6" t="str">
        <f>VLOOKUP(A63, Platform_DB!$A:$H, 3, FALSE)</f>
        <v>Need HTTP REST APIs available as a fallback fallback for curl commands?</v>
      </c>
      <c r="C63" s="6" t="s">
        <v>121</v>
      </c>
      <c r="D63" s="6" cm="1">
        <f t="array" ref="D63">_xlfn.SWITCH(C63,"Critical",4,"High",2.5,"Medium",1,"Not Needed", 0)</f>
        <v>2.5</v>
      </c>
      <c r="E63" s="6">
        <f>D63 * VLOOKUP($A63, Platform_DB!$A:$M, 4, FALSE)</f>
        <v>2.5</v>
      </c>
      <c r="F63" s="6">
        <f>D63 * VLOOKUP($A63, Platform_DB!$A:$M, 5, FALSE)</f>
        <v>2.5</v>
      </c>
      <c r="G63" s="6">
        <f>D63 * VLOOKUP($A63, Platform_DB!$A:$M, 6, FALSE)</f>
        <v>2</v>
      </c>
      <c r="H63" s="6">
        <f>D63 * VLOOKUP($A63, Platform_DB!$A:$M, 7, FALSE)</f>
        <v>2.5</v>
      </c>
      <c r="I63" s="6">
        <f>D63 * VLOOKUP($A63, Platform_DB!$A:$M, 8, FALSE)</f>
        <v>2</v>
      </c>
      <c r="J63" s="6">
        <f>D63 * VLOOKUP($A63, Platform_DB!$A:$M, 9, FALSE)</f>
        <v>0.25</v>
      </c>
      <c r="K63" s="6">
        <f>D63 * VLOOKUP($A63, Platform_DB!$A:$M, 10, FALSE)</f>
        <v>1</v>
      </c>
      <c r="L63" s="6">
        <f>D63 * VLOOKUP($A63, Platform_DB!$A:$M, 11, FALSE)</f>
        <v>2.5</v>
      </c>
      <c r="M63" s="6">
        <f>D63 * VLOOKUP($A63, Platform_DB!$A:$M, 12, FALSE)</f>
        <v>2.5</v>
      </c>
      <c r="N63" s="6">
        <f>D63 * VLOOKUP($A63, Platform_DB!$A:$M, 13, FALSE)</f>
        <v>2.5</v>
      </c>
    </row>
    <row r="64" spans="1:14" ht="36.6" thickBot="1" x14ac:dyDescent="0.35">
      <c r="A64" s="8" t="s">
        <v>150</v>
      </c>
      <c r="B64" s="6" t="str">
        <f>VLOOKUP(A64, Platform_DB!$A:$H, 3, FALSE)</f>
        <v>Does your engineering team prefer ORM-style database modeling hooks?</v>
      </c>
      <c r="C64" s="6" t="s">
        <v>124</v>
      </c>
      <c r="D64" s="6" cm="1">
        <f t="array" ref="D64">_xlfn.SWITCH(C64,"Critical",4,"High",2.5,"Medium",1,"Not Needed", 0)</f>
        <v>0</v>
      </c>
      <c r="E64" s="6">
        <f>D64 * VLOOKUP($A64, Platform_DB!$A:$M, 4, FALSE)</f>
        <v>0</v>
      </c>
      <c r="F64" s="6">
        <f>D64 * VLOOKUP($A64, Platform_DB!$A:$M, 5, FALSE)</f>
        <v>0</v>
      </c>
      <c r="G64" s="6">
        <f>D64 * VLOOKUP($A64, Platform_DB!$A:$M, 6, FALSE)</f>
        <v>0</v>
      </c>
      <c r="H64" s="6">
        <f>D64 * VLOOKUP($A64, Platform_DB!$A:$M, 7, FALSE)</f>
        <v>0</v>
      </c>
      <c r="I64" s="6">
        <f>D64 * VLOOKUP($A64, Platform_DB!$A:$M, 8, FALSE)</f>
        <v>0</v>
      </c>
      <c r="J64" s="6">
        <f>D64 * VLOOKUP($A64, Platform_DB!$A:$M, 9, FALSE)</f>
        <v>0</v>
      </c>
      <c r="K64" s="6">
        <f>D64 * VLOOKUP($A64, Platform_DB!$A:$M, 10, FALSE)</f>
        <v>0</v>
      </c>
      <c r="L64" s="6">
        <f>D64 * VLOOKUP($A64, Platform_DB!$A:$M, 11, FALSE)</f>
        <v>0</v>
      </c>
      <c r="M64" s="6">
        <f>D64 * VLOOKUP($A64, Platform_DB!$A:$M, 12, FALSE)</f>
        <v>0</v>
      </c>
      <c r="N64" s="6">
        <f>D64 * VLOOKUP($A64, Platform_DB!$A:$M, 13, FALSE)</f>
        <v>0</v>
      </c>
    </row>
    <row r="65" spans="1:14" ht="36.6" thickBot="1" x14ac:dyDescent="0.35">
      <c r="A65" s="8" t="s">
        <v>152</v>
      </c>
      <c r="B65" s="6" t="str">
        <f>VLOOKUP(A65, Platform_DB!$A:$H, 3, FALSE)</f>
        <v>Require an interactive web console for raw JSON/GraphQL query testing?</v>
      </c>
      <c r="C65" s="6" t="s">
        <v>124</v>
      </c>
      <c r="D65" s="6" cm="1">
        <f t="array" ref="D65">_xlfn.SWITCH(C65,"Critical",4,"High",2.5,"Medium",1,"Not Needed", 0)</f>
        <v>0</v>
      </c>
      <c r="E65" s="6">
        <f>D65 * VLOOKUP($A65, Platform_DB!$A:$M, 4, FALSE)</f>
        <v>0</v>
      </c>
      <c r="F65" s="6">
        <f>D65 * VLOOKUP($A65, Platform_DB!$A:$M, 5, FALSE)</f>
        <v>0</v>
      </c>
      <c r="G65" s="6">
        <f>D65 * VLOOKUP($A65, Platform_DB!$A:$M, 6, FALSE)</f>
        <v>0</v>
      </c>
      <c r="H65" s="6">
        <f>D65 * VLOOKUP($A65, Platform_DB!$A:$M, 7, FALSE)</f>
        <v>0</v>
      </c>
      <c r="I65" s="6">
        <f>D65 * VLOOKUP($A65, Platform_DB!$A:$M, 8, FALSE)</f>
        <v>0</v>
      </c>
      <c r="J65" s="6">
        <f>D65 * VLOOKUP($A65, Platform_DB!$A:$M, 9, FALSE)</f>
        <v>0</v>
      </c>
      <c r="K65" s="6">
        <f>D65 * VLOOKUP($A65, Platform_DB!$A:$M, 10, FALSE)</f>
        <v>0</v>
      </c>
      <c r="L65" s="6">
        <f>D65 * VLOOKUP($A65, Platform_DB!$A:$M, 11, FALSE)</f>
        <v>0</v>
      </c>
      <c r="M65" s="6">
        <f>D65 * VLOOKUP($A65, Platform_DB!$A:$M, 12, FALSE)</f>
        <v>0</v>
      </c>
      <c r="N65" s="6">
        <f>D65 * VLOOKUP($A65, Platform_DB!$A:$M, 13, FALSE)</f>
        <v>0</v>
      </c>
    </row>
    <row r="66" spans="1:14" ht="36.6" thickBot="1" x14ac:dyDescent="0.35">
      <c r="A66" s="8" t="s">
        <v>154</v>
      </c>
      <c r="B66" s="6" t="str">
        <f>VLOOKUP(A66, Platform_DB!$A:$H, 3, FALSE)</f>
        <v>Do you require a well-documented PHP ecosystem vector integration?</v>
      </c>
      <c r="C66" s="6" t="s">
        <v>124</v>
      </c>
      <c r="D66" s="6" cm="1">
        <f t="array" ref="D66">_xlfn.SWITCH(C66,"Critical",4,"High",2.5,"Medium",1,"Not Needed", 0)</f>
        <v>0</v>
      </c>
      <c r="E66" s="6">
        <f>D66 * VLOOKUP($A66, Platform_DB!$A:$M, 4, FALSE)</f>
        <v>0</v>
      </c>
      <c r="F66" s="6">
        <f>D66 * VLOOKUP($A66, Platform_DB!$A:$M, 5, FALSE)</f>
        <v>0</v>
      </c>
      <c r="G66" s="6">
        <f>D66 * VLOOKUP($A66, Platform_DB!$A:$M, 6, FALSE)</f>
        <v>0</v>
      </c>
      <c r="H66" s="6">
        <f>D66 * VLOOKUP($A66, Platform_DB!$A:$M, 7, FALSE)</f>
        <v>0</v>
      </c>
      <c r="I66" s="6">
        <f>D66 * VLOOKUP($A66, Platform_DB!$A:$M, 8, FALSE)</f>
        <v>0</v>
      </c>
      <c r="J66" s="6">
        <f>D66 * VLOOKUP($A66, Platform_DB!$A:$M, 9, FALSE)</f>
        <v>0</v>
      </c>
      <c r="K66" s="6">
        <f>D66 * VLOOKUP($A66, Platform_DB!$A:$M, 10, FALSE)</f>
        <v>0</v>
      </c>
      <c r="L66" s="6">
        <f>D66 * VLOOKUP($A66, Platform_DB!$A:$M, 11, FALSE)</f>
        <v>0</v>
      </c>
      <c r="M66" s="6">
        <f>D66 * VLOOKUP($A66, Platform_DB!$A:$M, 12, FALSE)</f>
        <v>0</v>
      </c>
      <c r="N66" s="6">
        <f>D66 * VLOOKUP($A66, Platform_DB!$A:$M, 13, FALSE)</f>
        <v>0</v>
      </c>
    </row>
    <row r="67" spans="1:14" ht="36.6" thickBot="1" x14ac:dyDescent="0.35">
      <c r="A67" s="8" t="s">
        <v>156</v>
      </c>
      <c r="B67" s="6" t="str">
        <f>VLOOKUP(A67, Platform_DB!$A:$H, 3, FALSE)</f>
        <v>Do you need robust Ruby on Rails client gems for vector workflows?</v>
      </c>
      <c r="C67" s="6" t="s">
        <v>120</v>
      </c>
      <c r="D67" s="6" cm="1">
        <f t="array" ref="D67">_xlfn.SWITCH(C67,"Critical",4,"High",2.5,"Medium",1,"Not Needed", 0)</f>
        <v>1</v>
      </c>
      <c r="E67" s="6">
        <f>D67 * VLOOKUP($A67, Platform_DB!$A:$M, 4, FALSE)</f>
        <v>0.5</v>
      </c>
      <c r="F67" s="6">
        <f>D67 * VLOOKUP($A67, Platform_DB!$A:$M, 5, FALSE)</f>
        <v>0.6</v>
      </c>
      <c r="G67" s="6">
        <f>D67 * VLOOKUP($A67, Platform_DB!$A:$M, 6, FALSE)</f>
        <v>0.5</v>
      </c>
      <c r="H67" s="6">
        <f>D67 * VLOOKUP($A67, Platform_DB!$A:$M, 7, FALSE)</f>
        <v>0.6</v>
      </c>
      <c r="I67" s="6">
        <f>D67 * VLOOKUP($A67, Platform_DB!$A:$M, 8, FALSE)</f>
        <v>0.1</v>
      </c>
      <c r="J67" s="6">
        <f>D67 * VLOOKUP($A67, Platform_DB!$A:$M, 9, FALSE)</f>
        <v>0.1</v>
      </c>
      <c r="K67" s="6">
        <f>D67 * VLOOKUP($A67, Platform_DB!$A:$M, 10, FALSE)</f>
        <v>1</v>
      </c>
      <c r="L67" s="6">
        <f>D67 * VLOOKUP($A67, Platform_DB!$A:$M, 11, FALSE)</f>
        <v>0.9</v>
      </c>
      <c r="M67" s="6">
        <f>D67 * VLOOKUP($A67, Platform_DB!$A:$M, 12, FALSE)</f>
        <v>0.2</v>
      </c>
      <c r="N67" s="6">
        <f>D67 * VLOOKUP($A67, Platform_DB!$A:$M, 13, FALSE)</f>
        <v>0.6</v>
      </c>
    </row>
    <row r="68" spans="1:14" ht="36.6" thickBot="1" x14ac:dyDescent="0.35">
      <c r="A68" s="8" t="s">
        <v>158</v>
      </c>
      <c r="B68" s="6" t="str">
        <f>VLOOKUP(A68, Platform_DB!$A:$H, 3, FALSE)</f>
        <v>Do you need to store and match multiple vectors per data document?</v>
      </c>
      <c r="C68" s="6" t="s">
        <v>121</v>
      </c>
      <c r="D68" s="6" cm="1">
        <f t="array" ref="D68">_xlfn.SWITCH(C68,"Critical",4,"High",2.5,"Medium",1,"Not Needed", 0)</f>
        <v>2.5</v>
      </c>
      <c r="E68" s="6">
        <f>D68 * VLOOKUP($A68, Platform_DB!$A:$M, 4, FALSE)</f>
        <v>1</v>
      </c>
      <c r="F68" s="6">
        <f>D68 * VLOOKUP($A68, Platform_DB!$A:$M, 5, FALSE)</f>
        <v>2.25</v>
      </c>
      <c r="G68" s="6">
        <f>D68 * VLOOKUP($A68, Platform_DB!$A:$M, 6, FALSE)</f>
        <v>2.5</v>
      </c>
      <c r="H68" s="6">
        <f>D68 * VLOOKUP($A68, Platform_DB!$A:$M, 7, FALSE)</f>
        <v>2.25</v>
      </c>
      <c r="I68" s="6">
        <f>D68 * VLOOKUP($A68, Platform_DB!$A:$M, 8, FALSE)</f>
        <v>1</v>
      </c>
      <c r="J68" s="6">
        <f>D68 * VLOOKUP($A68, Platform_DB!$A:$M, 9, FALSE)</f>
        <v>0.5</v>
      </c>
      <c r="K68" s="6">
        <f>D68 * VLOOKUP($A68, Platform_DB!$A:$M, 10, FALSE)</f>
        <v>2</v>
      </c>
      <c r="L68" s="6">
        <f>D68 * VLOOKUP($A68, Platform_DB!$A:$M, 11, FALSE)</f>
        <v>2</v>
      </c>
      <c r="M68" s="6">
        <f>D68 * VLOOKUP($A68, Platform_DB!$A:$M, 12, FALSE)</f>
        <v>1.5</v>
      </c>
      <c r="N68" s="6">
        <f>D68 * VLOOKUP($A68, Platform_DB!$A:$M, 13, FALSE)</f>
        <v>2.25</v>
      </c>
    </row>
    <row r="69" spans="1:14" ht="36.6" thickBot="1" x14ac:dyDescent="0.35">
      <c r="A69" s="8" t="s">
        <v>160</v>
      </c>
      <c r="B69" s="6" t="str">
        <f>VLOOKUP(A69, Platform_DB!$A:$H, 3, FALSE)</f>
        <v>Require semantic caching layer support natively out of the box?</v>
      </c>
      <c r="C69" s="6" t="s">
        <v>123</v>
      </c>
      <c r="D69" s="6" cm="1">
        <f t="array" ref="D69">_xlfn.SWITCH(C69,"Critical",4,"High",2.5,"Medium",1,"Not Needed", 0)</f>
        <v>4</v>
      </c>
      <c r="E69" s="6">
        <f>D69 * VLOOKUP($A69, Platform_DB!$A:$M, 4, FALSE)</f>
        <v>2.4</v>
      </c>
      <c r="F69" s="6">
        <f>D69 * VLOOKUP($A69, Platform_DB!$A:$M, 5, FALSE)</f>
        <v>3.2</v>
      </c>
      <c r="G69" s="6">
        <f>D69 * VLOOKUP($A69, Platform_DB!$A:$M, 6, FALSE)</f>
        <v>3.2</v>
      </c>
      <c r="H69" s="6">
        <f>D69 * VLOOKUP($A69, Platform_DB!$A:$M, 7, FALSE)</f>
        <v>2.8</v>
      </c>
      <c r="I69" s="6">
        <f>D69 * VLOOKUP($A69, Platform_DB!$A:$M, 8, FALSE)</f>
        <v>2</v>
      </c>
      <c r="J69" s="6">
        <f>D69 * VLOOKUP($A69, Platform_DB!$A:$M, 9, FALSE)</f>
        <v>0.4</v>
      </c>
      <c r="K69" s="6">
        <f>D69 * VLOOKUP($A69, Platform_DB!$A:$M, 10, FALSE)</f>
        <v>1.2</v>
      </c>
      <c r="L69" s="6">
        <f>D69 * VLOOKUP($A69, Platform_DB!$A:$M, 11, FALSE)</f>
        <v>2.4</v>
      </c>
      <c r="M69" s="6">
        <f>D69 * VLOOKUP($A69, Platform_DB!$A:$M, 12, FALSE)</f>
        <v>0.8</v>
      </c>
      <c r="N69" s="6">
        <f>D69 * VLOOKUP($A69, Platform_DB!$A:$M, 13, FALSE)</f>
        <v>2.8</v>
      </c>
    </row>
    <row r="70" spans="1:14" ht="36.6" thickBot="1" x14ac:dyDescent="0.35">
      <c r="A70" s="8" t="s">
        <v>162</v>
      </c>
      <c r="B70" s="6" t="str">
        <f>VLOOKUP(A70, Platform_DB!$A:$H, 3, FALSE)</f>
        <v>Need to handle massive metadata payloads exceeding 10KB per vector?</v>
      </c>
      <c r="C70" s="6" t="s">
        <v>123</v>
      </c>
      <c r="D70" s="6" cm="1">
        <f t="array" ref="D70">_xlfn.SWITCH(C70,"Critical",4,"High",2.5,"Medium",1,"Not Needed", 0)</f>
        <v>4</v>
      </c>
      <c r="E70" s="6">
        <f>D70 * VLOOKUP($A70, Platform_DB!$A:$M, 4, FALSE)</f>
        <v>1.6</v>
      </c>
      <c r="F70" s="6">
        <f>D70 * VLOOKUP($A70, Platform_DB!$A:$M, 5, FALSE)</f>
        <v>3.6</v>
      </c>
      <c r="G70" s="6">
        <f>D70 * VLOOKUP($A70, Platform_DB!$A:$M, 6, FALSE)</f>
        <v>3.2</v>
      </c>
      <c r="H70" s="6">
        <f>D70 * VLOOKUP($A70, Platform_DB!$A:$M, 7, FALSE)</f>
        <v>4</v>
      </c>
      <c r="I70" s="6">
        <f>D70 * VLOOKUP($A70, Platform_DB!$A:$M, 8, FALSE)</f>
        <v>2</v>
      </c>
      <c r="J70" s="6">
        <f>D70 * VLOOKUP($A70, Platform_DB!$A:$M, 9, FALSE)</f>
        <v>0.4</v>
      </c>
      <c r="K70" s="6">
        <f>D70 * VLOOKUP($A70, Platform_DB!$A:$M, 10, FALSE)</f>
        <v>3.6</v>
      </c>
      <c r="L70" s="6">
        <f>D70 * VLOOKUP($A70, Platform_DB!$A:$M, 11, FALSE)</f>
        <v>4</v>
      </c>
      <c r="M70" s="6">
        <f>D70 * VLOOKUP($A70, Platform_DB!$A:$M, 12, FALSE)</f>
        <v>2.4</v>
      </c>
      <c r="N70" s="6">
        <f>D70 * VLOOKUP($A70, Platform_DB!$A:$M, 13, FALSE)</f>
        <v>3.6</v>
      </c>
    </row>
    <row r="71" spans="1:14" ht="36.6" thickBot="1" x14ac:dyDescent="0.35">
      <c r="A71" s="8" t="s">
        <v>164</v>
      </c>
      <c r="B71" s="6" t="str">
        <f>VLOOKUP(A71, Platform_DB!$A:$H, 3, FALSE)</f>
        <v>Do you require custom scoring functions or scriptable vector weights?</v>
      </c>
      <c r="C71" s="6" t="s">
        <v>123</v>
      </c>
      <c r="D71" s="6" cm="1">
        <f t="array" ref="D71">_xlfn.SWITCH(C71,"Critical",4,"High",2.5,"Medium",1,"Not Needed", 0)</f>
        <v>4</v>
      </c>
      <c r="E71" s="6">
        <f>D71 * VLOOKUP($A71, Platform_DB!$A:$M, 4, FALSE)</f>
        <v>0.8</v>
      </c>
      <c r="F71" s="6">
        <f>D71 * VLOOKUP($A71, Platform_DB!$A:$M, 5, FALSE)</f>
        <v>2.8</v>
      </c>
      <c r="G71" s="6">
        <f>D71 * VLOOKUP($A71, Platform_DB!$A:$M, 6, FALSE)</f>
        <v>3.2</v>
      </c>
      <c r="H71" s="6">
        <f>D71 * VLOOKUP($A71, Platform_DB!$A:$M, 7, FALSE)</f>
        <v>3.6</v>
      </c>
      <c r="I71" s="6">
        <f>D71 * VLOOKUP($A71, Platform_DB!$A:$M, 8, FALSE)</f>
        <v>1.2</v>
      </c>
      <c r="J71" s="6">
        <f>D71 * VLOOKUP($A71, Platform_DB!$A:$M, 9, FALSE)</f>
        <v>1.6</v>
      </c>
      <c r="K71" s="6">
        <f>D71 * VLOOKUP($A71, Platform_DB!$A:$M, 10, FALSE)</f>
        <v>2.8</v>
      </c>
      <c r="L71" s="6">
        <f>D71 * VLOOKUP($A71, Platform_DB!$A:$M, 11, FALSE)</f>
        <v>2.4</v>
      </c>
      <c r="M71" s="6">
        <f>D71 * VLOOKUP($A71, Platform_DB!$A:$M, 12, FALSE)</f>
        <v>1.6</v>
      </c>
      <c r="N71" s="6">
        <f>D71 * VLOOKUP($A71, Platform_DB!$A:$M, 13, FALSE)</f>
        <v>4</v>
      </c>
    </row>
    <row r="72" spans="1:14" ht="36.6" thickBot="1" x14ac:dyDescent="0.35">
      <c r="A72" s="8" t="s">
        <v>166</v>
      </c>
      <c r="B72" s="6" t="str">
        <f>VLOOKUP(A72, Platform_DB!$A:$H, 3, FALSE)</f>
        <v>Require geospatial coordinates filtering paired alongside vectors?</v>
      </c>
      <c r="C72" s="6" t="s">
        <v>121</v>
      </c>
      <c r="D72" s="6" cm="1">
        <f t="array" ref="D72">_xlfn.SWITCH(C72,"Critical",4,"High",2.5,"Medium",1,"Not Needed", 0)</f>
        <v>2.5</v>
      </c>
      <c r="E72" s="6">
        <f>D72 * VLOOKUP($A72, Platform_DB!$A:$M, 4, FALSE)</f>
        <v>0.25</v>
      </c>
      <c r="F72" s="6">
        <f>D72 * VLOOKUP($A72, Platform_DB!$A:$M, 5, FALSE)</f>
        <v>2.25</v>
      </c>
      <c r="G72" s="6">
        <f>D72 * VLOOKUP($A72, Platform_DB!$A:$M, 6, FALSE)</f>
        <v>2.5</v>
      </c>
      <c r="H72" s="6">
        <f>D72 * VLOOKUP($A72, Platform_DB!$A:$M, 7, FALSE)</f>
        <v>2.5</v>
      </c>
      <c r="I72" s="6">
        <f>D72 * VLOOKUP($A72, Platform_DB!$A:$M, 8, FALSE)</f>
        <v>0.5</v>
      </c>
      <c r="J72" s="6">
        <f>D72 * VLOOKUP($A72, Platform_DB!$A:$M, 9, FALSE)</f>
        <v>0.25</v>
      </c>
      <c r="K72" s="6">
        <f>D72 * VLOOKUP($A72, Platform_DB!$A:$M, 10, FALSE)</f>
        <v>2.5</v>
      </c>
      <c r="L72" s="6">
        <f>D72 * VLOOKUP($A72, Platform_DB!$A:$M, 11, FALSE)</f>
        <v>2.5</v>
      </c>
      <c r="M72" s="6">
        <f>D72 * VLOOKUP($A72, Platform_DB!$A:$M, 12, FALSE)</f>
        <v>0.25</v>
      </c>
      <c r="N72" s="6">
        <f>D72 * VLOOKUP($A72, Platform_DB!$A:$M, 13, FALSE)</f>
        <v>2.5</v>
      </c>
    </row>
    <row r="73" spans="1:14" ht="36.6" thickBot="1" x14ac:dyDescent="0.35">
      <c r="A73" s="8" t="s">
        <v>168</v>
      </c>
      <c r="B73" s="6" t="str">
        <f>VLOOKUP(A73, Platform_DB!$A:$H, 3, FALSE)</f>
        <v>Need automatic data tokenization and text preprocessing pipelines?</v>
      </c>
      <c r="C73" s="6" t="s">
        <v>121</v>
      </c>
      <c r="D73" s="6" cm="1">
        <f t="array" ref="D73">_xlfn.SWITCH(C73,"Critical",4,"High",2.5,"Medium",1,"Not Needed", 0)</f>
        <v>2.5</v>
      </c>
      <c r="E73" s="6">
        <f>D73 * VLOOKUP($A73, Platform_DB!$A:$M, 4, FALSE)</f>
        <v>0.5</v>
      </c>
      <c r="F73" s="6">
        <f>D73 * VLOOKUP($A73, Platform_DB!$A:$M, 5, FALSE)</f>
        <v>2.5</v>
      </c>
      <c r="G73" s="6">
        <f>D73 * VLOOKUP($A73, Platform_DB!$A:$M, 6, FALSE)</f>
        <v>2</v>
      </c>
      <c r="H73" s="6">
        <f>D73 * VLOOKUP($A73, Platform_DB!$A:$M, 7, FALSE)</f>
        <v>1.25</v>
      </c>
      <c r="I73" s="6">
        <f>D73 * VLOOKUP($A73, Platform_DB!$A:$M, 8, FALSE)</f>
        <v>1</v>
      </c>
      <c r="J73" s="6">
        <f>D73 * VLOOKUP($A73, Platform_DB!$A:$M, 9, FALSE)</f>
        <v>0.25</v>
      </c>
      <c r="K73" s="6">
        <f>D73 * VLOOKUP($A73, Platform_DB!$A:$M, 10, FALSE)</f>
        <v>0.25</v>
      </c>
      <c r="L73" s="6">
        <f>D73 * VLOOKUP($A73, Platform_DB!$A:$M, 11, FALSE)</f>
        <v>1.75</v>
      </c>
      <c r="M73" s="6">
        <f>D73 * VLOOKUP($A73, Platform_DB!$A:$M, 12, FALSE)</f>
        <v>0.25</v>
      </c>
      <c r="N73" s="6">
        <f>D73 * VLOOKUP($A73, Platform_DB!$A:$M, 13, FALSE)</f>
        <v>2.25</v>
      </c>
    </row>
    <row r="74" spans="1:14" ht="36.6" thickBot="1" x14ac:dyDescent="0.35">
      <c r="A74" s="8" t="s">
        <v>170</v>
      </c>
      <c r="B74" s="6" t="str">
        <f>VLOOKUP(A74, Platform_DB!$A:$H, 3, FALSE)</f>
        <v>Do you require precise, un-approximated exact KNN search options?</v>
      </c>
      <c r="C74" s="6" t="s">
        <v>121</v>
      </c>
      <c r="D74" s="6" cm="1">
        <f t="array" ref="D74">_xlfn.SWITCH(C74,"Critical",4,"High",2.5,"Medium",1,"Not Needed", 0)</f>
        <v>2.5</v>
      </c>
      <c r="E74" s="6">
        <f>D74 * VLOOKUP($A74, Platform_DB!$A:$M, 4, FALSE)</f>
        <v>2.5</v>
      </c>
      <c r="F74" s="6">
        <f>D74 * VLOOKUP($A74, Platform_DB!$A:$M, 5, FALSE)</f>
        <v>2</v>
      </c>
      <c r="G74" s="6">
        <f>D74 * VLOOKUP($A74, Platform_DB!$A:$M, 6, FALSE)</f>
        <v>2.5</v>
      </c>
      <c r="H74" s="6">
        <f>D74 * VLOOKUP($A74, Platform_DB!$A:$M, 7, FALSE)</f>
        <v>2.5</v>
      </c>
      <c r="I74" s="6">
        <f>D74 * VLOOKUP($A74, Platform_DB!$A:$M, 8, FALSE)</f>
        <v>2</v>
      </c>
      <c r="J74" s="6">
        <f>D74 * VLOOKUP($A74, Platform_DB!$A:$M, 9, FALSE)</f>
        <v>2.5</v>
      </c>
      <c r="K74" s="6">
        <f>D74 * VLOOKUP($A74, Platform_DB!$A:$M, 10, FALSE)</f>
        <v>2.5</v>
      </c>
      <c r="L74" s="6">
        <f>D74 * VLOOKUP($A74, Platform_DB!$A:$M, 11, FALSE)</f>
        <v>2</v>
      </c>
      <c r="M74" s="6">
        <f>D74 * VLOOKUP($A74, Platform_DB!$A:$M, 12, FALSE)</f>
        <v>2</v>
      </c>
      <c r="N74" s="6">
        <f>D74 * VLOOKUP($A74, Platform_DB!$A:$M, 13, FALSE)</f>
        <v>2.5</v>
      </c>
    </row>
    <row r="75" spans="1:14" ht="36.6" thickBot="1" x14ac:dyDescent="0.35">
      <c r="A75" s="8" t="s">
        <v>172</v>
      </c>
      <c r="B75" s="6" t="str">
        <f>VLOOKUP(A75, Platform_DB!$A:$H, 3, FALSE)</f>
        <v>Require array/list matching operations within your metadata filters?</v>
      </c>
      <c r="C75" s="6" t="s">
        <v>121</v>
      </c>
      <c r="D75" s="6" cm="1">
        <f t="array" ref="D75">_xlfn.SWITCH(C75,"Critical",4,"High",2.5,"Medium",1,"Not Needed", 0)</f>
        <v>2.5</v>
      </c>
      <c r="E75" s="6">
        <f>D75 * VLOOKUP($A75, Platform_DB!$A:$M, 4, FALSE)</f>
        <v>2</v>
      </c>
      <c r="F75" s="6">
        <f>D75 * VLOOKUP($A75, Platform_DB!$A:$M, 5, FALSE)</f>
        <v>2.25</v>
      </c>
      <c r="G75" s="6">
        <f>D75 * VLOOKUP($A75, Platform_DB!$A:$M, 6, FALSE)</f>
        <v>2.5</v>
      </c>
      <c r="H75" s="6">
        <f>D75 * VLOOKUP($A75, Platform_DB!$A:$M, 7, FALSE)</f>
        <v>2.5</v>
      </c>
      <c r="I75" s="6">
        <f>D75 * VLOOKUP($A75, Platform_DB!$A:$M, 8, FALSE)</f>
        <v>1.25</v>
      </c>
      <c r="J75" s="6">
        <f>D75 * VLOOKUP($A75, Platform_DB!$A:$M, 9, FALSE)</f>
        <v>0.25</v>
      </c>
      <c r="K75" s="6">
        <f>D75 * VLOOKUP($A75, Platform_DB!$A:$M, 10, FALSE)</f>
        <v>2</v>
      </c>
      <c r="L75" s="6">
        <f>D75 * VLOOKUP($A75, Platform_DB!$A:$M, 11, FALSE)</f>
        <v>2.5</v>
      </c>
      <c r="M75" s="6">
        <f>D75 * VLOOKUP($A75, Platform_DB!$A:$M, 12, FALSE)</f>
        <v>1.5</v>
      </c>
      <c r="N75" s="6">
        <f>D75 * VLOOKUP($A75, Platform_DB!$A:$M, 13, FALSE)</f>
        <v>2.5</v>
      </c>
    </row>
    <row r="76" spans="1:14" ht="54.6" thickBot="1" x14ac:dyDescent="0.35">
      <c r="A76" s="8" t="s">
        <v>174</v>
      </c>
      <c r="B76" s="6" t="str">
        <f>VLOOKUP(A76, Platform_DB!$A:$H, 3, FALSE)</f>
        <v>Do you need advanced Binary Quantization (BQ) for ultra-low RAM usage?</v>
      </c>
      <c r="C76" s="6" t="s">
        <v>121</v>
      </c>
      <c r="D76" s="6" cm="1">
        <f t="array" ref="D76">_xlfn.SWITCH(C76,"Critical",4,"High",2.5,"Medium",1,"Not Needed", 0)</f>
        <v>2.5</v>
      </c>
      <c r="E76" s="6">
        <f>D76 * VLOOKUP($A76, Platform_DB!$A:$M, 4, FALSE)</f>
        <v>0.25</v>
      </c>
      <c r="F76" s="6">
        <f>D76 * VLOOKUP($A76, Platform_DB!$A:$M, 5, FALSE)</f>
        <v>2.25</v>
      </c>
      <c r="G76" s="6">
        <f>D76 * VLOOKUP($A76, Platform_DB!$A:$M, 6, FALSE)</f>
        <v>2.5</v>
      </c>
      <c r="H76" s="6">
        <f>D76 * VLOOKUP($A76, Platform_DB!$A:$M, 7, FALSE)</f>
        <v>2.5</v>
      </c>
      <c r="I76" s="6">
        <f>D76 * VLOOKUP($A76, Platform_DB!$A:$M, 8, FALSE)</f>
        <v>0.25</v>
      </c>
      <c r="J76" s="6">
        <f>D76 * VLOOKUP($A76, Platform_DB!$A:$M, 9, FALSE)</f>
        <v>2</v>
      </c>
      <c r="K76" s="6">
        <f>D76 * VLOOKUP($A76, Platform_DB!$A:$M, 10, FALSE)</f>
        <v>1.5</v>
      </c>
      <c r="L76" s="6">
        <f>D76 * VLOOKUP($A76, Platform_DB!$A:$M, 11, FALSE)</f>
        <v>0.25</v>
      </c>
      <c r="M76" s="6">
        <f>D76 * VLOOKUP($A76, Platform_DB!$A:$M, 12, FALSE)</f>
        <v>1</v>
      </c>
      <c r="N76" s="6">
        <f>D76 * VLOOKUP($A76, Platform_DB!$A:$M, 13, FALSE)</f>
        <v>2</v>
      </c>
    </row>
    <row r="77" spans="1:14" ht="36.6" thickBot="1" x14ac:dyDescent="0.35">
      <c r="A77" s="8" t="s">
        <v>176</v>
      </c>
      <c r="B77" s="6" t="str">
        <f>VLOOKUP(A77, Platform_DB!$A:$H, 3, FALSE)</f>
        <v>Will your environment demand over 5,000 parallel index updates per sec?</v>
      </c>
      <c r="C77" s="6" t="s">
        <v>121</v>
      </c>
      <c r="D77" s="6" cm="1">
        <f t="array" ref="D77">_xlfn.SWITCH(C77,"Critical",4,"High",2.5,"Medium",1,"Not Needed", 0)</f>
        <v>2.5</v>
      </c>
      <c r="E77" s="6">
        <f>D77 * VLOOKUP($A77, Platform_DB!$A:$M, 4, FALSE)</f>
        <v>2.25</v>
      </c>
      <c r="F77" s="6">
        <f>D77 * VLOOKUP($A77, Platform_DB!$A:$M, 5, FALSE)</f>
        <v>2</v>
      </c>
      <c r="G77" s="6">
        <f>D77 * VLOOKUP($A77, Platform_DB!$A:$M, 6, FALSE)</f>
        <v>2.5</v>
      </c>
      <c r="H77" s="6">
        <f>D77 * VLOOKUP($A77, Platform_DB!$A:$M, 7, FALSE)</f>
        <v>2.5</v>
      </c>
      <c r="I77" s="6">
        <f>D77 * VLOOKUP($A77, Platform_DB!$A:$M, 8, FALSE)</f>
        <v>0.75</v>
      </c>
      <c r="J77" s="6">
        <f>D77 * VLOOKUP($A77, Platform_DB!$A:$M, 9, FALSE)</f>
        <v>0.25</v>
      </c>
      <c r="K77" s="6">
        <f>D77 * VLOOKUP($A77, Platform_DB!$A:$M, 10, FALSE)</f>
        <v>1.5</v>
      </c>
      <c r="L77" s="6">
        <f>D77 * VLOOKUP($A77, Platform_DB!$A:$M, 11, FALSE)</f>
        <v>2.25</v>
      </c>
      <c r="M77" s="6">
        <f>D77 * VLOOKUP($A77, Platform_DB!$A:$M, 12, FALSE)</f>
        <v>1.75</v>
      </c>
      <c r="N77" s="6">
        <f>D77 * VLOOKUP($A77, Platform_DB!$A:$M, 13, FALSE)</f>
        <v>2.25</v>
      </c>
    </row>
    <row r="78" spans="1:14" ht="36.6" thickBot="1" x14ac:dyDescent="0.35">
      <c r="A78" s="8" t="s">
        <v>178</v>
      </c>
      <c r="B78" s="6" t="str">
        <f>VLOOKUP(A78, Platform_DB!$A:$H, 3, FALSE)</f>
        <v>Do you require rapid dynamic index rebuilding without dropping QPS?</v>
      </c>
      <c r="C78" s="6" t="s">
        <v>121</v>
      </c>
      <c r="D78" s="6" cm="1">
        <f t="array" ref="D78">_xlfn.SWITCH(C78,"Critical",4,"High",2.5,"Medium",1,"Not Needed", 0)</f>
        <v>2.5</v>
      </c>
      <c r="E78" s="6">
        <f>D78 * VLOOKUP($A78, Platform_DB!$A:$M, 4, FALSE)</f>
        <v>2.5</v>
      </c>
      <c r="F78" s="6">
        <f>D78 * VLOOKUP($A78, Platform_DB!$A:$M, 5, FALSE)</f>
        <v>2.25</v>
      </c>
      <c r="G78" s="6">
        <f>D78 * VLOOKUP($A78, Platform_DB!$A:$M, 6, FALSE)</f>
        <v>2.25</v>
      </c>
      <c r="H78" s="6">
        <f>D78 * VLOOKUP($A78, Platform_DB!$A:$M, 7, FALSE)</f>
        <v>2.5</v>
      </c>
      <c r="I78" s="6">
        <f>D78 * VLOOKUP($A78, Platform_DB!$A:$M, 8, FALSE)</f>
        <v>1</v>
      </c>
      <c r="J78" s="6">
        <f>D78 * VLOOKUP($A78, Platform_DB!$A:$M, 9, FALSE)</f>
        <v>0.25</v>
      </c>
      <c r="K78" s="6">
        <f>D78 * VLOOKUP($A78, Platform_DB!$A:$M, 10, FALSE)</f>
        <v>1.25</v>
      </c>
      <c r="L78" s="6">
        <f>D78 * VLOOKUP($A78, Platform_DB!$A:$M, 11, FALSE)</f>
        <v>2</v>
      </c>
      <c r="M78" s="6">
        <f>D78 * VLOOKUP($A78, Platform_DB!$A:$M, 12, FALSE)</f>
        <v>1.5</v>
      </c>
      <c r="N78" s="6">
        <f>D78 * VLOOKUP($A78, Platform_DB!$A:$M, 13, FALSE)</f>
        <v>2.25</v>
      </c>
    </row>
    <row r="79" spans="1:14" ht="36.6" thickBot="1" x14ac:dyDescent="0.35">
      <c r="A79" s="8" t="s">
        <v>180</v>
      </c>
      <c r="B79" s="6" t="str">
        <f>VLOOKUP(A79, Platform_DB!$A:$H, 3, FALSE)</f>
        <v>Is your query workflow heavily dependent on Cosine Distance math?</v>
      </c>
      <c r="C79" s="6" t="s">
        <v>121</v>
      </c>
      <c r="D79" s="6" cm="1">
        <f t="array" ref="D79">_xlfn.SWITCH(C79,"Critical",4,"High",2.5,"Medium",1,"Not Needed", 0)</f>
        <v>2.5</v>
      </c>
      <c r="E79" s="6">
        <f>D79 * VLOOKUP($A79, Platform_DB!$A:$M, 4, FALSE)</f>
        <v>2.5</v>
      </c>
      <c r="F79" s="6">
        <f>D79 * VLOOKUP($A79, Platform_DB!$A:$M, 5, FALSE)</f>
        <v>2.5</v>
      </c>
      <c r="G79" s="6">
        <f>D79 * VLOOKUP($A79, Platform_DB!$A:$M, 6, FALSE)</f>
        <v>2.5</v>
      </c>
      <c r="H79" s="6">
        <f>D79 * VLOOKUP($A79, Platform_DB!$A:$M, 7, FALSE)</f>
        <v>2.5</v>
      </c>
      <c r="I79" s="6">
        <f>D79 * VLOOKUP($A79, Platform_DB!$A:$M, 8, FALSE)</f>
        <v>2.5</v>
      </c>
      <c r="J79" s="6">
        <f>D79 * VLOOKUP($A79, Platform_DB!$A:$M, 9, FALSE)</f>
        <v>2.5</v>
      </c>
      <c r="K79" s="6">
        <f>D79 * VLOOKUP($A79, Platform_DB!$A:$M, 10, FALSE)</f>
        <v>2.5</v>
      </c>
      <c r="L79" s="6">
        <f>D79 * VLOOKUP($A79, Platform_DB!$A:$M, 11, FALSE)</f>
        <v>2.5</v>
      </c>
      <c r="M79" s="6">
        <f>D79 * VLOOKUP($A79, Platform_DB!$A:$M, 12, FALSE)</f>
        <v>2.5</v>
      </c>
      <c r="N79" s="6">
        <f>D79 * VLOOKUP($A79, Platform_DB!$A:$M, 13, FALSE)</f>
        <v>2.5</v>
      </c>
    </row>
    <row r="80" spans="1:14" ht="36.6" thickBot="1" x14ac:dyDescent="0.35">
      <c r="A80" s="8" t="s">
        <v>182</v>
      </c>
      <c r="B80" s="6" t="str">
        <f>VLOOKUP(A80, Platform_DB!$A:$H, 3, FALSE)</f>
        <v>Is your query workflow heavily dependent on Dot Product calculations?</v>
      </c>
      <c r="C80" s="6" t="s">
        <v>121</v>
      </c>
      <c r="D80" s="6" cm="1">
        <f t="array" ref="D80">_xlfn.SWITCH(C80,"Critical",4,"High",2.5,"Medium",1,"Not Needed", 0)</f>
        <v>2.5</v>
      </c>
      <c r="E80" s="6">
        <f>D80 * VLOOKUP($A80, Platform_DB!$A:$M, 4, FALSE)</f>
        <v>2.5</v>
      </c>
      <c r="F80" s="6">
        <f>D80 * VLOOKUP($A80, Platform_DB!$A:$M, 5, FALSE)</f>
        <v>2.5</v>
      </c>
      <c r="G80" s="6">
        <f>D80 * VLOOKUP($A80, Platform_DB!$A:$M, 6, FALSE)</f>
        <v>2.5</v>
      </c>
      <c r="H80" s="6">
        <f>D80 * VLOOKUP($A80, Platform_DB!$A:$M, 7, FALSE)</f>
        <v>2.5</v>
      </c>
      <c r="I80" s="6">
        <f>D80 * VLOOKUP($A80, Platform_DB!$A:$M, 8, FALSE)</f>
        <v>2.5</v>
      </c>
      <c r="J80" s="6">
        <f>D80 * VLOOKUP($A80, Platform_DB!$A:$M, 9, FALSE)</f>
        <v>2.5</v>
      </c>
      <c r="K80" s="6">
        <f>D80 * VLOOKUP($A80, Platform_DB!$A:$M, 10, FALSE)</f>
        <v>2.5</v>
      </c>
      <c r="L80" s="6">
        <f>D80 * VLOOKUP($A80, Platform_DB!$A:$M, 11, FALSE)</f>
        <v>2.5</v>
      </c>
      <c r="M80" s="6">
        <f>D80 * VLOOKUP($A80, Platform_DB!$A:$M, 12, FALSE)</f>
        <v>2.5</v>
      </c>
      <c r="N80" s="6">
        <f>D80 * VLOOKUP($A80, Platform_DB!$A:$M, 13, FALSE)</f>
        <v>2.5</v>
      </c>
    </row>
    <row r="81" spans="1:14" ht="36.6" thickBot="1" x14ac:dyDescent="0.35">
      <c r="A81" s="8" t="s">
        <v>184</v>
      </c>
      <c r="B81" s="6" t="str">
        <f>VLOOKUP(A81, Platform_DB!$A:$H, 3, FALSE)</f>
        <v>Do you need a system optimized for Manhattan/L1 Distance metrics?</v>
      </c>
      <c r="C81" s="6" t="s">
        <v>121</v>
      </c>
      <c r="D81" s="6" cm="1">
        <f t="array" ref="D81">_xlfn.SWITCH(C81,"Critical",4,"High",2.5,"Medium",1,"Not Needed", 0)</f>
        <v>2.5</v>
      </c>
      <c r="E81" s="6">
        <f>D81 * VLOOKUP($A81, Platform_DB!$A:$M, 4, FALSE)</f>
        <v>0.25</v>
      </c>
      <c r="F81" s="6">
        <f>D81 * VLOOKUP($A81, Platform_DB!$A:$M, 5, FALSE)</f>
        <v>0.25</v>
      </c>
      <c r="G81" s="6">
        <f>D81 * VLOOKUP($A81, Platform_DB!$A:$M, 6, FALSE)</f>
        <v>2.5</v>
      </c>
      <c r="H81" s="6">
        <f>D81 * VLOOKUP($A81, Platform_DB!$A:$M, 7, FALSE)</f>
        <v>0.5</v>
      </c>
      <c r="I81" s="6">
        <f>D81 * VLOOKUP($A81, Platform_DB!$A:$M, 8, FALSE)</f>
        <v>1</v>
      </c>
      <c r="J81" s="6">
        <f>D81 * VLOOKUP($A81, Platform_DB!$A:$M, 9, FALSE)</f>
        <v>2.5</v>
      </c>
      <c r="K81" s="6">
        <f>D81 * VLOOKUP($A81, Platform_DB!$A:$M, 10, FALSE)</f>
        <v>1.25</v>
      </c>
      <c r="L81" s="6">
        <f>D81 * VLOOKUP($A81, Platform_DB!$A:$M, 11, FALSE)</f>
        <v>0.25</v>
      </c>
      <c r="M81" s="6">
        <f>D81 * VLOOKUP($A81, Platform_DB!$A:$M, 12, FALSE)</f>
        <v>0.25</v>
      </c>
      <c r="N81" s="6">
        <f>D81 * VLOOKUP($A81, Platform_DB!$A:$M, 13, FALSE)</f>
        <v>0.25</v>
      </c>
    </row>
    <row r="82" spans="1:14" ht="36.6" thickBot="1" x14ac:dyDescent="0.35">
      <c r="A82" s="8" t="s">
        <v>186</v>
      </c>
      <c r="B82" s="6" t="str">
        <f>VLOOKUP(A82, Platform_DB!$A:$H, 3, FALSE)</f>
        <v>Require sub-millisecond retrieval on small localized datasets?</v>
      </c>
      <c r="C82" s="6" t="s">
        <v>121</v>
      </c>
      <c r="D82" s="6" cm="1">
        <f t="array" ref="D82">_xlfn.SWITCH(C82,"Critical",4,"High",2.5,"Medium",1,"Not Needed", 0)</f>
        <v>2.5</v>
      </c>
      <c r="E82" s="6">
        <f>D82 * VLOOKUP($A82, Platform_DB!$A:$M, 4, FALSE)</f>
        <v>1</v>
      </c>
      <c r="F82" s="6">
        <f>D82 * VLOOKUP($A82, Platform_DB!$A:$M, 5, FALSE)</f>
        <v>1.5</v>
      </c>
      <c r="G82" s="6">
        <f>D82 * VLOOKUP($A82, Platform_DB!$A:$M, 6, FALSE)</f>
        <v>1.5</v>
      </c>
      <c r="H82" s="6">
        <f>D82 * VLOOKUP($A82, Platform_DB!$A:$M, 7, FALSE)</f>
        <v>2</v>
      </c>
      <c r="I82" s="6">
        <f>D82 * VLOOKUP($A82, Platform_DB!$A:$M, 8, FALSE)</f>
        <v>2.25</v>
      </c>
      <c r="J82" s="6">
        <f>D82 * VLOOKUP($A82, Platform_DB!$A:$M, 9, FALSE)</f>
        <v>2.5</v>
      </c>
      <c r="K82" s="6">
        <f>D82 * VLOOKUP($A82, Platform_DB!$A:$M, 10, FALSE)</f>
        <v>1.75</v>
      </c>
      <c r="L82" s="6">
        <f>D82 * VLOOKUP($A82, Platform_DB!$A:$M, 11, FALSE)</f>
        <v>1.5</v>
      </c>
      <c r="M82" s="6">
        <f>D82 * VLOOKUP($A82, Platform_DB!$A:$M, 12, FALSE)</f>
        <v>2</v>
      </c>
      <c r="N82" s="6">
        <f>D82 * VLOOKUP($A82, Platform_DB!$A:$M, 13, FALSE)</f>
        <v>1.25</v>
      </c>
    </row>
    <row r="83" spans="1:14" ht="36.6" thickBot="1" x14ac:dyDescent="0.35">
      <c r="A83" s="8" t="s">
        <v>188</v>
      </c>
      <c r="B83" s="6" t="str">
        <f>VLOOKUP(A83, Platform_DB!$A:$H, 3, FALSE)</f>
        <v>Need automatic segment consolidation to maximize storage health?</v>
      </c>
      <c r="C83" s="6" t="s">
        <v>121</v>
      </c>
      <c r="D83" s="6" cm="1">
        <f t="array" ref="D83">_xlfn.SWITCH(C83,"Critical",4,"High",2.5,"Medium",1,"Not Needed", 0)</f>
        <v>2.5</v>
      </c>
      <c r="E83" s="6">
        <f>D83 * VLOOKUP($A83, Platform_DB!$A:$M, 4, FALSE)</f>
        <v>2.5</v>
      </c>
      <c r="F83" s="6">
        <f>D83 * VLOOKUP($A83, Platform_DB!$A:$M, 5, FALSE)</f>
        <v>2</v>
      </c>
      <c r="G83" s="6">
        <f>D83 * VLOOKUP($A83, Platform_DB!$A:$M, 6, FALSE)</f>
        <v>2.5</v>
      </c>
      <c r="H83" s="6">
        <f>D83 * VLOOKUP($A83, Platform_DB!$A:$M, 7, FALSE)</f>
        <v>2.5</v>
      </c>
      <c r="I83" s="6">
        <f>D83 * VLOOKUP($A83, Platform_DB!$A:$M, 8, FALSE)</f>
        <v>0.75</v>
      </c>
      <c r="J83" s="6">
        <f>D83 * VLOOKUP($A83, Platform_DB!$A:$M, 9, FALSE)</f>
        <v>0.25</v>
      </c>
      <c r="K83" s="6">
        <f>D83 * VLOOKUP($A83, Platform_DB!$A:$M, 10, FALSE)</f>
        <v>1</v>
      </c>
      <c r="L83" s="6">
        <f>D83 * VLOOKUP($A83, Platform_DB!$A:$M, 11, FALSE)</f>
        <v>1.5</v>
      </c>
      <c r="M83" s="6">
        <f>D83 * VLOOKUP($A83, Platform_DB!$A:$M, 12, FALSE)</f>
        <v>2</v>
      </c>
      <c r="N83" s="6">
        <f>D83 * VLOOKUP($A83, Platform_DB!$A:$M, 13, FALSE)</f>
        <v>2.25</v>
      </c>
    </row>
    <row r="84" spans="1:14" ht="36.6" thickBot="1" x14ac:dyDescent="0.35">
      <c r="A84" s="8" t="s">
        <v>190</v>
      </c>
      <c r="B84" s="6" t="str">
        <f>VLOOKUP(A84, Platform_DB!$A:$H, 3, FALSE)</f>
        <v>Is your dev team lacking Linux/Docker sysadmin expertise entirely?</v>
      </c>
      <c r="C84" s="6" t="s">
        <v>121</v>
      </c>
      <c r="D84" s="6" cm="1">
        <f t="array" ref="D84">_xlfn.SWITCH(C84,"Critical",4,"High",2.5,"Medium",1,"Not Needed", 0)</f>
        <v>2.5</v>
      </c>
      <c r="E84" s="6">
        <f>D84 * VLOOKUP($A84, Platform_DB!$A:$M, 4, FALSE)</f>
        <v>2.5</v>
      </c>
      <c r="F84" s="6">
        <f>D84 * VLOOKUP($A84, Platform_DB!$A:$M, 5, FALSE)</f>
        <v>1.5</v>
      </c>
      <c r="G84" s="6">
        <f>D84 * VLOOKUP($A84, Platform_DB!$A:$M, 6, FALSE)</f>
        <v>0.75</v>
      </c>
      <c r="H84" s="6">
        <f>D84 * VLOOKUP($A84, Platform_DB!$A:$M, 7, FALSE)</f>
        <v>1.25</v>
      </c>
      <c r="I84" s="6">
        <f>D84 * VLOOKUP($A84, Platform_DB!$A:$M, 8, FALSE)</f>
        <v>2.25</v>
      </c>
      <c r="J84" s="6">
        <f>D84 * VLOOKUP($A84, Platform_DB!$A:$M, 9, FALSE)</f>
        <v>1</v>
      </c>
      <c r="K84" s="6">
        <f>D84 * VLOOKUP($A84, Platform_DB!$A:$M, 10, FALSE)</f>
        <v>1.25</v>
      </c>
      <c r="L84" s="6">
        <f>D84 * VLOOKUP($A84, Platform_DB!$A:$M, 11, FALSE)</f>
        <v>1.75</v>
      </c>
      <c r="M84" s="6">
        <f>D84 * VLOOKUP($A84, Platform_DB!$A:$M, 12, FALSE)</f>
        <v>2.25</v>
      </c>
      <c r="N84" s="6">
        <f>D84 * VLOOKUP($A84, Platform_DB!$A:$M, 13, FALSE)</f>
        <v>1.25</v>
      </c>
    </row>
    <row r="85" spans="1:14" ht="36.6" thickBot="1" x14ac:dyDescent="0.35">
      <c r="A85" s="8" t="s">
        <v>192</v>
      </c>
      <c r="B85" s="6" t="str">
        <f>VLOOKUP(A85, Platform_DB!$A:$H, 3, FALSE)</f>
        <v>Require zero database downtime during rolling system engine updates?</v>
      </c>
      <c r="C85" s="6" t="s">
        <v>121</v>
      </c>
      <c r="D85" s="6" cm="1">
        <f t="array" ref="D85">_xlfn.SWITCH(C85,"Critical",4,"High",2.5,"Medium",1,"Not Needed", 0)</f>
        <v>2.5</v>
      </c>
      <c r="E85" s="6">
        <f>D85 * VLOOKUP($A85, Platform_DB!$A:$M, 4, FALSE)</f>
        <v>2.5</v>
      </c>
      <c r="F85" s="6">
        <f>D85 * VLOOKUP($A85, Platform_DB!$A:$M, 5, FALSE)</f>
        <v>2.25</v>
      </c>
      <c r="G85" s="6">
        <f>D85 * VLOOKUP($A85, Platform_DB!$A:$M, 6, FALSE)</f>
        <v>2.5</v>
      </c>
      <c r="H85" s="6">
        <f>D85 * VLOOKUP($A85, Platform_DB!$A:$M, 7, FALSE)</f>
        <v>2.25</v>
      </c>
      <c r="I85" s="6">
        <f>D85 * VLOOKUP($A85, Platform_DB!$A:$M, 8, FALSE)</f>
        <v>0.5</v>
      </c>
      <c r="J85" s="6">
        <f>D85 * VLOOKUP($A85, Platform_DB!$A:$M, 9, FALSE)</f>
        <v>0.25</v>
      </c>
      <c r="K85" s="6">
        <f>D85 * VLOOKUP($A85, Platform_DB!$A:$M, 10, FALSE)</f>
        <v>2</v>
      </c>
      <c r="L85" s="6">
        <f>D85 * VLOOKUP($A85, Platform_DB!$A:$M, 11, FALSE)</f>
        <v>2.5</v>
      </c>
      <c r="M85" s="6">
        <f>D85 * VLOOKUP($A85, Platform_DB!$A:$M, 12, FALSE)</f>
        <v>1.75</v>
      </c>
      <c r="N85" s="6">
        <f>D85 * VLOOKUP($A85, Platform_DB!$A:$M, 13, FALSE)</f>
        <v>2.5</v>
      </c>
    </row>
    <row r="86" spans="1:14" ht="36.6" thickBot="1" x14ac:dyDescent="0.35">
      <c r="A86" s="8" t="s">
        <v>194</v>
      </c>
      <c r="B86" s="6" t="str">
        <f>VLOOKUP(A86, Platform_DB!$A:$H, 3, FALSE)</f>
        <v>Need to reuse existing enterprise database encryption keys (BYOK)?</v>
      </c>
      <c r="C86" s="6" t="s">
        <v>121</v>
      </c>
      <c r="D86" s="6" cm="1">
        <f t="array" ref="D86">_xlfn.SWITCH(C86,"Critical",4,"High",2.5,"Medium",1,"Not Needed", 0)</f>
        <v>2.5</v>
      </c>
      <c r="E86" s="6">
        <f>D86 * VLOOKUP($A86, Platform_DB!$A:$M, 4, FALSE)</f>
        <v>2.25</v>
      </c>
      <c r="F86" s="6">
        <f>D86 * VLOOKUP($A86, Platform_DB!$A:$M, 5, FALSE)</f>
        <v>2</v>
      </c>
      <c r="G86" s="6">
        <f>D86 * VLOOKUP($A86, Platform_DB!$A:$M, 6, FALSE)</f>
        <v>2</v>
      </c>
      <c r="H86" s="6">
        <f>D86 * VLOOKUP($A86, Platform_DB!$A:$M, 7, FALSE)</f>
        <v>2</v>
      </c>
      <c r="I86" s="6">
        <f>D86 * VLOOKUP($A86, Platform_DB!$A:$M, 8, FALSE)</f>
        <v>0.25</v>
      </c>
      <c r="J86" s="6">
        <f>D86 * VLOOKUP($A86, Platform_DB!$A:$M, 9, FALSE)</f>
        <v>0.25</v>
      </c>
      <c r="K86" s="6">
        <f>D86 * VLOOKUP($A86, Platform_DB!$A:$M, 10, FALSE)</f>
        <v>2.25</v>
      </c>
      <c r="L86" s="6">
        <f>D86 * VLOOKUP($A86, Platform_DB!$A:$M, 11, FALSE)</f>
        <v>2.5</v>
      </c>
      <c r="M86" s="6">
        <f>D86 * VLOOKUP($A86, Platform_DB!$A:$M, 12, FALSE)</f>
        <v>0.75</v>
      </c>
      <c r="N86" s="6">
        <f>D86 * VLOOKUP($A86, Platform_DB!$A:$M, 13, FALSE)</f>
        <v>2.25</v>
      </c>
    </row>
    <row r="87" spans="1:14" ht="36.6" thickBot="1" x14ac:dyDescent="0.35">
      <c r="A87" s="8" t="s">
        <v>196</v>
      </c>
      <c r="B87" s="6" t="str">
        <f>VLOOKUP(A87, Platform_DB!$A:$H, 3, FALSE)</f>
        <v>Require deep Prometheus / Grafana native metric tracking hooks?</v>
      </c>
      <c r="C87" s="6" t="s">
        <v>121</v>
      </c>
      <c r="D87" s="6" cm="1">
        <f t="array" ref="D87">_xlfn.SWITCH(C87,"Critical",4,"High",2.5,"Medium",1,"Not Needed", 0)</f>
        <v>2.5</v>
      </c>
      <c r="E87" s="6">
        <f>D87 * VLOOKUP($A87, Platform_DB!$A:$M, 4, FALSE)</f>
        <v>1.5</v>
      </c>
      <c r="F87" s="6">
        <f>D87 * VLOOKUP($A87, Platform_DB!$A:$M, 5, FALSE)</f>
        <v>2.5</v>
      </c>
      <c r="G87" s="6">
        <f>D87 * VLOOKUP($A87, Platform_DB!$A:$M, 6, FALSE)</f>
        <v>2.5</v>
      </c>
      <c r="H87" s="6">
        <f>D87 * VLOOKUP($A87, Platform_DB!$A:$M, 7, FALSE)</f>
        <v>2.5</v>
      </c>
      <c r="I87" s="6">
        <f>D87 * VLOOKUP($A87, Platform_DB!$A:$M, 8, FALSE)</f>
        <v>0.5</v>
      </c>
      <c r="J87" s="6">
        <f>D87 * VLOOKUP($A87, Platform_DB!$A:$M, 9, FALSE)</f>
        <v>0.25</v>
      </c>
      <c r="K87" s="6">
        <f>D87 * VLOOKUP($A87, Platform_DB!$A:$M, 10, FALSE)</f>
        <v>1.5</v>
      </c>
      <c r="L87" s="6">
        <f>D87 * VLOOKUP($A87, Platform_DB!$A:$M, 11, FALSE)</f>
        <v>2</v>
      </c>
      <c r="M87" s="6">
        <f>D87 * VLOOKUP($A87, Platform_DB!$A:$M, 12, FALSE)</f>
        <v>0.5</v>
      </c>
      <c r="N87" s="6">
        <f>D87 * VLOOKUP($A87, Platform_DB!$A:$M, 13, FALSE)</f>
        <v>2.5</v>
      </c>
    </row>
    <row r="88" spans="1:14" ht="36.6" thickBot="1" x14ac:dyDescent="0.35">
      <c r="A88" s="8" t="s">
        <v>198</v>
      </c>
      <c r="B88" s="6" t="str">
        <f>VLOOKUP(A88, Platform_DB!$A:$H, 3, FALSE)</f>
        <v>Do you need direct data pipeline syncing from Apache Kafka streams?</v>
      </c>
      <c r="C88" s="6" t="s">
        <v>121</v>
      </c>
      <c r="D88" s="6" cm="1">
        <f t="array" ref="D88">_xlfn.SWITCH(C88,"Critical",4,"High",2.5,"Medium",1,"Not Needed", 0)</f>
        <v>2.5</v>
      </c>
      <c r="E88" s="6">
        <f>D88 * VLOOKUP($A88, Platform_DB!$A:$M, 4, FALSE)</f>
        <v>1.25</v>
      </c>
      <c r="F88" s="6">
        <f>D88 * VLOOKUP($A88, Platform_DB!$A:$M, 5, FALSE)</f>
        <v>2</v>
      </c>
      <c r="G88" s="6">
        <f>D88 * VLOOKUP($A88, Platform_DB!$A:$M, 6, FALSE)</f>
        <v>2.5</v>
      </c>
      <c r="H88" s="6">
        <f>D88 * VLOOKUP($A88, Platform_DB!$A:$M, 7, FALSE)</f>
        <v>1.75</v>
      </c>
      <c r="I88" s="6">
        <f>D88 * VLOOKUP($A88, Platform_DB!$A:$M, 8, FALSE)</f>
        <v>0.5</v>
      </c>
      <c r="J88" s="6">
        <f>D88 * VLOOKUP($A88, Platform_DB!$A:$M, 9, FALSE)</f>
        <v>0.25</v>
      </c>
      <c r="K88" s="6">
        <f>D88 * VLOOKUP($A88, Platform_DB!$A:$M, 10, FALSE)</f>
        <v>1.75</v>
      </c>
      <c r="L88" s="6">
        <f>D88 * VLOOKUP($A88, Platform_DB!$A:$M, 11, FALSE)</f>
        <v>2.25</v>
      </c>
      <c r="M88" s="6">
        <f>D88 * VLOOKUP($A88, Platform_DB!$A:$M, 12, FALSE)</f>
        <v>0.5</v>
      </c>
      <c r="N88" s="6">
        <f>D88 * VLOOKUP($A88, Platform_DB!$A:$M, 13, FALSE)</f>
        <v>2.25</v>
      </c>
    </row>
    <row r="89" spans="1:14" ht="36.6" thickBot="1" x14ac:dyDescent="0.35">
      <c r="A89" s="8" t="s">
        <v>200</v>
      </c>
      <c r="B89" s="6" t="str">
        <f>VLOOKUP(A89, Platform_DB!$A:$H, 3, FALSE)</f>
        <v>Need built-in data migration tools to move vectors between regions?</v>
      </c>
      <c r="C89" s="6" t="s">
        <v>121</v>
      </c>
      <c r="D89" s="6" cm="1">
        <f t="array" ref="D89">_xlfn.SWITCH(C89,"Critical",4,"High",2.5,"Medium",1,"Not Needed", 0)</f>
        <v>2.5</v>
      </c>
      <c r="E89" s="6">
        <f>D89 * VLOOKUP($A89, Platform_DB!$A:$M, 4, FALSE)</f>
        <v>2</v>
      </c>
      <c r="F89" s="6">
        <f>D89 * VLOOKUP($A89, Platform_DB!$A:$M, 5, FALSE)</f>
        <v>1.75</v>
      </c>
      <c r="G89" s="6">
        <f>D89 * VLOOKUP($A89, Platform_DB!$A:$M, 6, FALSE)</f>
        <v>2.25</v>
      </c>
      <c r="H89" s="6">
        <f>D89 * VLOOKUP($A89, Platform_DB!$A:$M, 7, FALSE)</f>
        <v>2</v>
      </c>
      <c r="I89" s="6">
        <f>D89 * VLOOKUP($A89, Platform_DB!$A:$M, 8, FALSE)</f>
        <v>0.25</v>
      </c>
      <c r="J89" s="6">
        <f>D89 * VLOOKUP($A89, Platform_DB!$A:$M, 9, FALSE)</f>
        <v>0.25</v>
      </c>
      <c r="K89" s="6">
        <f>D89 * VLOOKUP($A89, Platform_DB!$A:$M, 10, FALSE)</f>
        <v>1.25</v>
      </c>
      <c r="L89" s="6">
        <f>D89 * VLOOKUP($A89, Platform_DB!$A:$M, 11, FALSE)</f>
        <v>2</v>
      </c>
      <c r="M89" s="6">
        <f>D89 * VLOOKUP($A89, Platform_DB!$A:$M, 12, FALSE)</f>
        <v>1</v>
      </c>
      <c r="N89" s="6">
        <f>D89 * VLOOKUP($A89, Platform_DB!$A:$M, 13, FALSE)</f>
        <v>2</v>
      </c>
    </row>
    <row r="90" spans="1:14" ht="36.6" thickBot="1" x14ac:dyDescent="0.35">
      <c r="A90" s="8" t="s">
        <v>202</v>
      </c>
      <c r="B90" s="6" t="str">
        <f>VLOOKUP(A90, Platform_DB!$A:$H, 3, FALSE)</f>
        <v>Require strict HIPAA BAA agreements signed by your database vendor?</v>
      </c>
      <c r="C90" s="6" t="s">
        <v>121</v>
      </c>
      <c r="D90" s="6" cm="1">
        <f t="array" ref="D90">_xlfn.SWITCH(C90,"Critical",4,"High",2.5,"Medium",1,"Not Needed", 0)</f>
        <v>2.5</v>
      </c>
      <c r="E90" s="6">
        <f>D90 * VLOOKUP($A90, Platform_DB!$A:$M, 4, FALSE)</f>
        <v>2.5</v>
      </c>
      <c r="F90" s="6">
        <f>D90 * VLOOKUP($A90, Platform_DB!$A:$M, 5, FALSE)</f>
        <v>2.25</v>
      </c>
      <c r="G90" s="6">
        <f>D90 * VLOOKUP($A90, Platform_DB!$A:$M, 6, FALSE)</f>
        <v>2.25</v>
      </c>
      <c r="H90" s="6">
        <f>D90 * VLOOKUP($A90, Platform_DB!$A:$M, 7, FALSE)</f>
        <v>2</v>
      </c>
      <c r="I90" s="6">
        <f>D90 * VLOOKUP($A90, Platform_DB!$A:$M, 8, FALSE)</f>
        <v>0.25</v>
      </c>
      <c r="J90" s="6">
        <f>D90 * VLOOKUP($A90, Platform_DB!$A:$M, 9, FALSE)</f>
        <v>0.25</v>
      </c>
      <c r="K90" s="6">
        <f>D90 * VLOOKUP($A90, Platform_DB!$A:$M, 10, FALSE)</f>
        <v>2</v>
      </c>
      <c r="L90" s="6">
        <f>D90 * VLOOKUP($A90, Platform_DB!$A:$M, 11, FALSE)</f>
        <v>2.5</v>
      </c>
      <c r="M90" s="6">
        <f>D90 * VLOOKUP($A90, Platform_DB!$A:$M, 12, FALSE)</f>
        <v>1</v>
      </c>
      <c r="N90" s="6">
        <f>D90 * VLOOKUP($A90, Platform_DB!$A:$M, 13, FALSE)</f>
        <v>2.25</v>
      </c>
    </row>
    <row r="91" spans="1:14" ht="36.6" thickBot="1" x14ac:dyDescent="0.35">
      <c r="A91" s="8" t="s">
        <v>204</v>
      </c>
      <c r="B91" s="6" t="str">
        <f>VLOOKUP(A91, Platform_DB!$A:$H, 3, FALSE)</f>
        <v>Do you need a dead-simple embedded engine setup that installs via pip?</v>
      </c>
      <c r="C91" s="6" t="s">
        <v>121</v>
      </c>
      <c r="D91" s="6" cm="1">
        <f t="array" ref="D91">_xlfn.SWITCH(C91,"Critical",4,"High",2.5,"Medium",1,"Not Needed", 0)</f>
        <v>2.5</v>
      </c>
      <c r="E91" s="6">
        <f>D91 * VLOOKUP($A91, Platform_DB!$A:$M, 4, FALSE)</f>
        <v>0.25</v>
      </c>
      <c r="F91" s="6">
        <f>D91 * VLOOKUP($A91, Platform_DB!$A:$M, 5, FALSE)</f>
        <v>0.5</v>
      </c>
      <c r="G91" s="6">
        <f>D91 * VLOOKUP($A91, Platform_DB!$A:$M, 6, FALSE)</f>
        <v>0.25</v>
      </c>
      <c r="H91" s="6">
        <f>D91 * VLOOKUP($A91, Platform_DB!$A:$M, 7, FALSE)</f>
        <v>0.5</v>
      </c>
      <c r="I91" s="6">
        <f>D91 * VLOOKUP($A91, Platform_DB!$A:$M, 8, FALSE)</f>
        <v>2.5</v>
      </c>
      <c r="J91" s="6">
        <f>D91 * VLOOKUP($A91, Platform_DB!$A:$M, 9, FALSE)</f>
        <v>2.25</v>
      </c>
      <c r="K91" s="6">
        <f>D91 * VLOOKUP($A91, Platform_DB!$A:$M, 10, FALSE)</f>
        <v>0.75</v>
      </c>
      <c r="L91" s="6">
        <f>D91 * VLOOKUP($A91, Platform_DB!$A:$M, 11, FALSE)</f>
        <v>0.25</v>
      </c>
      <c r="M91" s="6">
        <f>D91 * VLOOKUP($A91, Platform_DB!$A:$M, 12, FALSE)</f>
        <v>0.5</v>
      </c>
      <c r="N91" s="6">
        <f>D91 * VLOOKUP($A91, Platform_DB!$A:$M, 13, FALSE)</f>
        <v>0.25</v>
      </c>
    </row>
    <row r="92" spans="1:14" ht="36.6" thickBot="1" x14ac:dyDescent="0.35">
      <c r="A92" s="8" t="s">
        <v>206</v>
      </c>
      <c r="B92" s="6" t="str">
        <f>VLOOKUP(A92, Platform_DB!$A:$H, 3, FALSE)</f>
        <v>Require native API compatibility with the OpenAI vector spec format?</v>
      </c>
      <c r="C92" s="6" t="s">
        <v>121</v>
      </c>
      <c r="D92" s="6" cm="1">
        <f t="array" ref="D92">_xlfn.SWITCH(C92,"Critical",4,"High",2.5,"Medium",1,"Not Needed", 0)</f>
        <v>2.5</v>
      </c>
      <c r="E92" s="6">
        <f>D92 * VLOOKUP($A92, Platform_DB!$A:$M, 4, FALSE)</f>
        <v>1.75</v>
      </c>
      <c r="F92" s="6">
        <f>D92 * VLOOKUP($A92, Platform_DB!$A:$M, 5, FALSE)</f>
        <v>2</v>
      </c>
      <c r="G92" s="6">
        <f>D92 * VLOOKUP($A92, Platform_DB!$A:$M, 6, FALSE)</f>
        <v>1.5</v>
      </c>
      <c r="H92" s="6">
        <f>D92 * VLOOKUP($A92, Platform_DB!$A:$M, 7, FALSE)</f>
        <v>1.75</v>
      </c>
      <c r="I92" s="6">
        <f>D92 * VLOOKUP($A92, Platform_DB!$A:$M, 8, FALSE)</f>
        <v>2</v>
      </c>
      <c r="J92" s="6">
        <f>D92 * VLOOKUP($A92, Platform_DB!$A:$M, 9, FALSE)</f>
        <v>0.5</v>
      </c>
      <c r="K92" s="6">
        <f>D92 * VLOOKUP($A92, Platform_DB!$A:$M, 10, FALSE)</f>
        <v>1</v>
      </c>
      <c r="L92" s="6">
        <f>D92 * VLOOKUP($A92, Platform_DB!$A:$M, 11, FALSE)</f>
        <v>1.25</v>
      </c>
      <c r="M92" s="6">
        <f>D92 * VLOOKUP($A92, Platform_DB!$A:$M, 12, FALSE)</f>
        <v>1</v>
      </c>
      <c r="N92" s="6">
        <f>D92 * VLOOKUP($A92, Platform_DB!$A:$M, 13, FALSE)</f>
        <v>1.5</v>
      </c>
    </row>
    <row r="93" spans="1:14" ht="36.6" thickBot="1" x14ac:dyDescent="0.35">
      <c r="A93" s="8" t="s">
        <v>208</v>
      </c>
      <c r="B93" s="6" t="str">
        <f>VLOOKUP(A93, Platform_DB!$A:$H, 3, FALSE)</f>
        <v>Do you require detailed, step-by-step video learning tracks from the vendor?</v>
      </c>
      <c r="C93" s="6" t="s">
        <v>121</v>
      </c>
      <c r="D93" s="6" cm="1">
        <f t="array" ref="D93">_xlfn.SWITCH(C93,"Critical",4,"High",2.5,"Medium",1,"Not Needed", 0)</f>
        <v>2.5</v>
      </c>
      <c r="E93" s="6">
        <f>D93 * VLOOKUP($A93, Platform_DB!$A:$M, 4, FALSE)</f>
        <v>2.5</v>
      </c>
      <c r="F93" s="6">
        <f>D93 * VLOOKUP($A93, Platform_DB!$A:$M, 5, FALSE)</f>
        <v>2.5</v>
      </c>
      <c r="G93" s="6">
        <f>D93 * VLOOKUP($A93, Platform_DB!$A:$M, 6, FALSE)</f>
        <v>2.25</v>
      </c>
      <c r="H93" s="6">
        <f>D93 * VLOOKUP($A93, Platform_DB!$A:$M, 7, FALSE)</f>
        <v>2</v>
      </c>
      <c r="I93" s="6">
        <f>D93 * VLOOKUP($A93, Platform_DB!$A:$M, 8, FALSE)</f>
        <v>1.5</v>
      </c>
      <c r="J93" s="6">
        <f>D93 * VLOOKUP($A93, Platform_DB!$A:$M, 9, FALSE)</f>
        <v>0.75</v>
      </c>
      <c r="K93" s="6">
        <f>D93 * VLOOKUP($A93, Platform_DB!$A:$M, 10, FALSE)</f>
        <v>1.25</v>
      </c>
      <c r="L93" s="6">
        <f>D93 * VLOOKUP($A93, Platform_DB!$A:$M, 11, FALSE)</f>
        <v>2</v>
      </c>
      <c r="M93" s="6">
        <f>D93 * VLOOKUP($A93, Platform_DB!$A:$M, 12, FALSE)</f>
        <v>0.75</v>
      </c>
      <c r="N93" s="6">
        <f>D93 * VLOOKUP($A93, Platform_DB!$A:$M, 13, FALSE)</f>
        <v>2</v>
      </c>
    </row>
    <row r="94" spans="1:14" ht="36.6" thickBot="1" x14ac:dyDescent="0.35">
      <c r="A94" s="8" t="s">
        <v>210</v>
      </c>
      <c r="B94" s="6" t="str">
        <f>VLOOKUP(A94, Platform_DB!$A:$H, 3, FALSE)</f>
        <v>Require rich telemetry data or query trace debugging workflows?</v>
      </c>
      <c r="C94" s="6" t="s">
        <v>121</v>
      </c>
      <c r="D94" s="6" cm="1">
        <f t="array" ref="D94">_xlfn.SWITCH(C94,"Critical",4,"High",2.5,"Medium",1,"Not Needed", 0)</f>
        <v>2.5</v>
      </c>
      <c r="E94" s="6">
        <f>D94 * VLOOKUP($A94, Platform_DB!$A:$M, 4, FALSE)</f>
        <v>2</v>
      </c>
      <c r="F94" s="6">
        <f>D94 * VLOOKUP($A94, Platform_DB!$A:$M, 5, FALSE)</f>
        <v>2.25</v>
      </c>
      <c r="G94" s="6">
        <f>D94 * VLOOKUP($A94, Platform_DB!$A:$M, 6, FALSE)</f>
        <v>2.25</v>
      </c>
      <c r="H94" s="6">
        <f>D94 * VLOOKUP($A94, Platform_DB!$A:$M, 7, FALSE)</f>
        <v>2.5</v>
      </c>
      <c r="I94" s="6">
        <f>D94 * VLOOKUP($A94, Platform_DB!$A:$M, 8, FALSE)</f>
        <v>0.5</v>
      </c>
      <c r="J94" s="6">
        <f>D94 * VLOOKUP($A94, Platform_DB!$A:$M, 9, FALSE)</f>
        <v>0.25</v>
      </c>
      <c r="K94" s="6">
        <f>D94 * VLOOKUP($A94, Platform_DB!$A:$M, 10, FALSE)</f>
        <v>1.25</v>
      </c>
      <c r="L94" s="6">
        <f>D94 * VLOOKUP($A94, Platform_DB!$A:$M, 11, FALSE)</f>
        <v>2</v>
      </c>
      <c r="M94" s="6">
        <f>D94 * VLOOKUP($A94, Platform_DB!$A:$M, 12, FALSE)</f>
        <v>0.75</v>
      </c>
      <c r="N94" s="6">
        <f>D94 * VLOOKUP($A94, Platform_DB!$A:$M, 13, FALSE)</f>
        <v>2.25</v>
      </c>
    </row>
    <row r="95" spans="1:14" ht="36.6" thickBot="1" x14ac:dyDescent="0.35">
      <c r="A95" s="8" t="s">
        <v>212</v>
      </c>
      <c r="B95" s="6" t="str">
        <f>VLOOKUP(A95, Platform_DB!$A:$H, 3, FALSE)</f>
        <v>Need native notebook plug-ins to see vector clusters visually?</v>
      </c>
      <c r="C95" s="6" t="s">
        <v>121</v>
      </c>
      <c r="D95" s="6" cm="1">
        <f t="array" ref="D95">_xlfn.SWITCH(C95,"Critical",4,"High",2.5,"Medium",1,"Not Needed", 0)</f>
        <v>2.5</v>
      </c>
      <c r="E95" s="6">
        <f>D95 * VLOOKUP($A95, Platform_DB!$A:$M, 4, FALSE)</f>
        <v>1.25</v>
      </c>
      <c r="F95" s="6">
        <f>D95 * VLOOKUP($A95, Platform_DB!$A:$M, 5, FALSE)</f>
        <v>1.5</v>
      </c>
      <c r="G95" s="6">
        <f>D95 * VLOOKUP($A95, Platform_DB!$A:$M, 6, FALSE)</f>
        <v>1.5</v>
      </c>
      <c r="H95" s="6">
        <f>D95 * VLOOKUP($A95, Platform_DB!$A:$M, 7, FALSE)</f>
        <v>2</v>
      </c>
      <c r="I95" s="6">
        <f>D95 * VLOOKUP($A95, Platform_DB!$A:$M, 8, FALSE)</f>
        <v>1</v>
      </c>
      <c r="J95" s="6">
        <f>D95 * VLOOKUP($A95, Platform_DB!$A:$M, 9, FALSE)</f>
        <v>0.75</v>
      </c>
      <c r="K95" s="6">
        <f>D95 * VLOOKUP($A95, Platform_DB!$A:$M, 10, FALSE)</f>
        <v>0.5</v>
      </c>
      <c r="L95" s="6">
        <f>D95 * VLOOKUP($A95, Platform_DB!$A:$M, 11, FALSE)</f>
        <v>1.25</v>
      </c>
      <c r="M95" s="6">
        <f>D95 * VLOOKUP($A95, Platform_DB!$A:$M, 12, FALSE)</f>
        <v>0.25</v>
      </c>
      <c r="N95" s="6">
        <f>D95 * VLOOKUP($A95, Platform_DB!$A:$M, 13, FALSE)</f>
        <v>1.5</v>
      </c>
    </row>
    <row r="96" spans="1:14" ht="36.6" thickBot="1" x14ac:dyDescent="0.35">
      <c r="A96" s="8" t="s">
        <v>214</v>
      </c>
      <c r="B96" s="6" t="str">
        <f>VLOOKUP(A96, Platform_DB!$A:$H, 3, FALSE)</f>
        <v>Do you require automated text chunking window overlaps out of the box?</v>
      </c>
      <c r="C96" s="6" t="s">
        <v>121</v>
      </c>
      <c r="D96" s="6" cm="1">
        <f t="array" ref="D96">_xlfn.SWITCH(C96,"Critical",4,"High",2.5,"Medium",1,"Not Needed", 0)</f>
        <v>2.5</v>
      </c>
      <c r="E96" s="6">
        <f>D96 * VLOOKUP($A96, Platform_DB!$A:$M, 4, FALSE)</f>
        <v>0.5</v>
      </c>
      <c r="F96" s="6">
        <f>D96 * VLOOKUP($A96, Platform_DB!$A:$M, 5, FALSE)</f>
        <v>2.5</v>
      </c>
      <c r="G96" s="6">
        <f>D96 * VLOOKUP($A96, Platform_DB!$A:$M, 6, FALSE)</f>
        <v>1.5</v>
      </c>
      <c r="H96" s="6">
        <f>D96 * VLOOKUP($A96, Platform_DB!$A:$M, 7, FALSE)</f>
        <v>1</v>
      </c>
      <c r="I96" s="6">
        <f>D96 * VLOOKUP($A96, Platform_DB!$A:$M, 8, FALSE)</f>
        <v>0.5</v>
      </c>
      <c r="J96" s="6">
        <f>D96 * VLOOKUP($A96, Platform_DB!$A:$M, 9, FALSE)</f>
        <v>0.25</v>
      </c>
      <c r="K96" s="6">
        <f>D96 * VLOOKUP($A96, Platform_DB!$A:$M, 10, FALSE)</f>
        <v>0.25</v>
      </c>
      <c r="L96" s="6">
        <f>D96 * VLOOKUP($A96, Platform_DB!$A:$M, 11, FALSE)</f>
        <v>1</v>
      </c>
      <c r="M96" s="6">
        <f>D96 * VLOOKUP($A96, Platform_DB!$A:$M, 12, FALSE)</f>
        <v>0.25</v>
      </c>
      <c r="N96" s="6">
        <f>D96 * VLOOKUP($A96, Platform_DB!$A:$M, 13, FALSE)</f>
        <v>1.25</v>
      </c>
    </row>
    <row r="97" spans="1:14" ht="36.6" thickBot="1" x14ac:dyDescent="0.35">
      <c r="A97" s="8" t="s">
        <v>216</v>
      </c>
      <c r="B97" s="6" t="str">
        <f>VLOOKUP(A97, Platform_DB!$A:$H, 3, FALSE)</f>
        <v>Prefer an open Slack/Discord community with thousands of active devs?</v>
      </c>
      <c r="C97" s="6" t="s">
        <v>121</v>
      </c>
      <c r="D97" s="6" cm="1">
        <f t="array" ref="D97">_xlfn.SWITCH(C97,"Critical",4,"High",2.5,"Medium",1,"Not Needed", 0)</f>
        <v>2.5</v>
      </c>
      <c r="E97" s="6">
        <f>D97 * VLOOKUP($A97, Platform_DB!$A:$M, 4, FALSE)</f>
        <v>2.5</v>
      </c>
      <c r="F97" s="6">
        <f>D97 * VLOOKUP($A97, Platform_DB!$A:$M, 5, FALSE)</f>
        <v>2.5</v>
      </c>
      <c r="G97" s="6">
        <f>D97 * VLOOKUP($A97, Platform_DB!$A:$M, 6, FALSE)</f>
        <v>2.25</v>
      </c>
      <c r="H97" s="6">
        <f>D97 * VLOOKUP($A97, Platform_DB!$A:$M, 7, FALSE)</f>
        <v>2.5</v>
      </c>
      <c r="I97" s="6">
        <f>D97 * VLOOKUP($A97, Platform_DB!$A:$M, 8, FALSE)</f>
        <v>2.5</v>
      </c>
      <c r="J97" s="6">
        <f>D97 * VLOOKUP($A97, Platform_DB!$A:$M, 9, FALSE)</f>
        <v>1.5</v>
      </c>
      <c r="K97" s="6">
        <f>D97 * VLOOKUP($A97, Platform_DB!$A:$M, 10, FALSE)</f>
        <v>1.5</v>
      </c>
      <c r="L97" s="6">
        <f>D97 * VLOOKUP($A97, Platform_DB!$A:$M, 11, FALSE)</f>
        <v>2</v>
      </c>
      <c r="M97" s="6">
        <f>D97 * VLOOKUP($A97, Platform_DB!$A:$M, 12, FALSE)</f>
        <v>1</v>
      </c>
      <c r="N97" s="6">
        <f>D97 * VLOOKUP($A97, Platform_DB!$A:$M, 13, FALSE)</f>
        <v>1.75</v>
      </c>
    </row>
    <row r="98" spans="1:14" ht="36.6" thickBot="1" x14ac:dyDescent="0.35">
      <c r="A98" s="8" t="s">
        <v>218</v>
      </c>
      <c r="B98" s="6" t="str">
        <f>VLOOKUP(A98, Platform_DB!$A:$H, 3, FALSE)</f>
        <v>Need to quickly mock your vector index for standalone unit testing?</v>
      </c>
      <c r="C98" s="6" t="s">
        <v>121</v>
      </c>
      <c r="D98" s="6" cm="1">
        <f t="array" ref="D98">_xlfn.SWITCH(C98,"Critical",4,"High",2.5,"Medium",1,"Not Needed", 0)</f>
        <v>2.5</v>
      </c>
      <c r="E98" s="6">
        <f>D98 * VLOOKUP($A98, Platform_DB!$A:$M, 4, FALSE)</f>
        <v>1.25</v>
      </c>
      <c r="F98" s="6">
        <f>D98 * VLOOKUP($A98, Platform_DB!$A:$M, 5, FALSE)</f>
        <v>1.75</v>
      </c>
      <c r="G98" s="6">
        <f>D98 * VLOOKUP($A98, Platform_DB!$A:$M, 6, FALSE)</f>
        <v>1.5</v>
      </c>
      <c r="H98" s="6">
        <f>D98 * VLOOKUP($A98, Platform_DB!$A:$M, 7, FALSE)</f>
        <v>2</v>
      </c>
      <c r="I98" s="6">
        <f>D98 * VLOOKUP($A98, Platform_DB!$A:$M, 8, FALSE)</f>
        <v>2.5</v>
      </c>
      <c r="J98" s="6">
        <f>D98 * VLOOKUP($A98, Platform_DB!$A:$M, 9, FALSE)</f>
        <v>2.25</v>
      </c>
      <c r="K98" s="6">
        <f>D98 * VLOOKUP($A98, Platform_DB!$A:$M, 10, FALSE)</f>
        <v>1.5</v>
      </c>
      <c r="L98" s="6">
        <f>D98 * VLOOKUP($A98, Platform_DB!$A:$M, 11, FALSE)</f>
        <v>1.25</v>
      </c>
      <c r="M98" s="6">
        <f>D98 * VLOOKUP($A98, Platform_DB!$A:$M, 12, FALSE)</f>
        <v>1</v>
      </c>
      <c r="N98" s="6">
        <f>D98 * VLOOKUP($A98, Platform_DB!$A:$M, 13, FALSE)</f>
        <v>1</v>
      </c>
    </row>
    <row r="99" spans="1:14" ht="36.6" thickBot="1" x14ac:dyDescent="0.35">
      <c r="A99" s="8" t="s">
        <v>220</v>
      </c>
      <c r="B99" s="6" t="str">
        <f>VLOOKUP(A99, Platform_DB!$A:$H, 3, FALSE)</f>
        <v>Require seamless out-of-the-box integration with Hugging Face spaces?</v>
      </c>
      <c r="C99" s="6" t="s">
        <v>121</v>
      </c>
      <c r="D99" s="6" cm="1">
        <f t="array" ref="D99">_xlfn.SWITCH(C99,"Critical",4,"High",2.5,"Medium",1,"Not Needed", 0)</f>
        <v>2.5</v>
      </c>
      <c r="E99" s="6">
        <f>D99 * VLOOKUP($A99, Platform_DB!$A:$M, 4, FALSE)</f>
        <v>2.25</v>
      </c>
      <c r="F99" s="6">
        <f>D99 * VLOOKUP($A99, Platform_DB!$A:$M, 5, FALSE)</f>
        <v>2.25</v>
      </c>
      <c r="G99" s="6">
        <f>D99 * VLOOKUP($A99, Platform_DB!$A:$M, 6, FALSE)</f>
        <v>2.25</v>
      </c>
      <c r="H99" s="6">
        <f>D99 * VLOOKUP($A99, Platform_DB!$A:$M, 7, FALSE)</f>
        <v>2.25</v>
      </c>
      <c r="I99" s="6">
        <f>D99 * VLOOKUP($A99, Platform_DB!$A:$M, 8, FALSE)</f>
        <v>2.5</v>
      </c>
      <c r="J99" s="6">
        <f>D99 * VLOOKUP($A99, Platform_DB!$A:$M, 9, FALSE)</f>
        <v>1.75</v>
      </c>
      <c r="K99" s="6">
        <f>D99 * VLOOKUP($A99, Platform_DB!$A:$M, 10, FALSE)</f>
        <v>1.5</v>
      </c>
      <c r="L99" s="6">
        <f>D99 * VLOOKUP($A99, Platform_DB!$A:$M, 11, FALSE)</f>
        <v>1.75</v>
      </c>
      <c r="M99" s="6">
        <f>D99 * VLOOKUP($A99, Platform_DB!$A:$M, 12, FALSE)</f>
        <v>1</v>
      </c>
      <c r="N99" s="6">
        <f>D99 * VLOOKUP($A99, Platform_DB!$A:$M, 13, FALSE)</f>
        <v>2</v>
      </c>
    </row>
    <row r="100" spans="1:14" ht="36.6" thickBot="1" x14ac:dyDescent="0.35">
      <c r="A100" s="8" t="s">
        <v>222</v>
      </c>
      <c r="B100" s="6" t="str">
        <f>VLOOKUP(A100, Platform_DB!$A:$H, 3, FALSE)</f>
        <v>Do you need native support for tracking data lineage and model updates?</v>
      </c>
      <c r="C100" s="6" t="s">
        <v>121</v>
      </c>
      <c r="D100" s="6" cm="1">
        <f t="array" ref="D100">_xlfn.SWITCH(C100,"Critical",4,"High",2.5,"Medium",1,"Not Needed", 0)</f>
        <v>2.5</v>
      </c>
      <c r="E100" s="6">
        <f>D100 * VLOOKUP($A100, Platform_DB!$A:$M, 4, FALSE)</f>
        <v>1</v>
      </c>
      <c r="F100" s="6">
        <f>D100 * VLOOKUP($A100, Platform_DB!$A:$M, 5, FALSE)</f>
        <v>2</v>
      </c>
      <c r="G100" s="6">
        <f>D100 * VLOOKUP($A100, Platform_DB!$A:$M, 6, FALSE)</f>
        <v>2</v>
      </c>
      <c r="H100" s="6">
        <f>D100 * VLOOKUP($A100, Platform_DB!$A:$M, 7, FALSE)</f>
        <v>1.75</v>
      </c>
      <c r="I100" s="6">
        <f>D100 * VLOOKUP($A100, Platform_DB!$A:$M, 8, FALSE)</f>
        <v>0.75</v>
      </c>
      <c r="J100" s="6">
        <f>D100 * VLOOKUP($A100, Platform_DB!$A:$M, 9, FALSE)</f>
        <v>0.25</v>
      </c>
      <c r="K100" s="6">
        <f>D100 * VLOOKUP($A100, Platform_DB!$A:$M, 10, FALSE)</f>
        <v>0.75</v>
      </c>
      <c r="L100" s="6">
        <f>D100 * VLOOKUP($A100, Platform_DB!$A:$M, 11, FALSE)</f>
        <v>1.25</v>
      </c>
      <c r="M100" s="6">
        <f>D100 * VLOOKUP($A100, Platform_DB!$A:$M, 12, FALSE)</f>
        <v>0.5</v>
      </c>
      <c r="N100" s="6">
        <f>D100 * VLOOKUP($A100, Platform_DB!$A:$M, 13, FALSE)</f>
        <v>1.5</v>
      </c>
    </row>
    <row r="101" spans="1:14" ht="36" x14ac:dyDescent="0.3">
      <c r="A101" s="10" t="s">
        <v>224</v>
      </c>
      <c r="B101" s="6" t="str">
        <f>VLOOKUP(A101, Platform_DB!$A:$H, 3, FALSE)</f>
        <v>Require advanced enterprise security controls like Row-Level Security (RLS)?</v>
      </c>
      <c r="C101" s="6" t="s">
        <v>121</v>
      </c>
      <c r="D101" s="6" cm="1">
        <f t="array" ref="D101">_xlfn.SWITCH(C101,"Critical",4,"High",2.5,"Medium",1,"Not Needed", 0)</f>
        <v>2.5</v>
      </c>
      <c r="E101" s="6">
        <f>D101 * VLOOKUP($A101, Platform_DB!$A:$M, 4, FALSE)</f>
        <v>1.75</v>
      </c>
      <c r="F101" s="6">
        <f>D101 * VLOOKUP($A101, Platform_DB!$A:$M, 5, FALSE)</f>
        <v>1.75</v>
      </c>
      <c r="G101" s="6">
        <f>D101 * VLOOKUP($A101, Platform_DB!$A:$M, 6, FALSE)</f>
        <v>2.25</v>
      </c>
      <c r="H101" s="6">
        <f>D101 * VLOOKUP($A101, Platform_DB!$A:$M, 7, FALSE)</f>
        <v>2</v>
      </c>
      <c r="I101" s="6">
        <f>D101 * VLOOKUP($A101, Platform_DB!$A:$M, 8, FALSE)</f>
        <v>0.25</v>
      </c>
      <c r="J101" s="6">
        <f>D101 * VLOOKUP($A101, Platform_DB!$A:$M, 9, FALSE)</f>
        <v>0.25</v>
      </c>
      <c r="K101" s="6">
        <f>D101 * VLOOKUP($A101, Platform_DB!$A:$M, 10, FALSE)</f>
        <v>2.5</v>
      </c>
      <c r="L101" s="6">
        <f>D101 * VLOOKUP($A101, Platform_DB!$A:$M, 11, FALSE)</f>
        <v>2.25</v>
      </c>
      <c r="M101" s="6">
        <f>D101 * VLOOKUP($A101, Platform_DB!$A:$M, 12, FALSE)</f>
        <v>1</v>
      </c>
      <c r="N101" s="6">
        <f>D101 * VLOOKUP($A101, Platform_DB!$A:$M, 13, FALSE)</f>
        <v>2.25</v>
      </c>
    </row>
    <row r="105" spans="1:14" ht="36" x14ac:dyDescent="0.35">
      <c r="C105" s="12" t="s">
        <v>125</v>
      </c>
      <c r="D105" s="13">
        <f>SUM(D2:D101) * 1</f>
        <v>208.5</v>
      </c>
      <c r="E105" s="14">
        <f>(SUM($E$2:$E$101)/SUM($D$2:$D$101))*100</f>
        <v>61.510791366906467</v>
      </c>
      <c r="F105" s="14">
        <f>(SUM($F$2:$F$101)/SUM($D$2:$D$101))*100</f>
        <v>74.844124700239817</v>
      </c>
      <c r="G105" s="14">
        <f>(SUM($G$2:$G$101)/SUM($D$2:$D$101))*100</f>
        <v>77.529976019184659</v>
      </c>
      <c r="H105" s="14">
        <f>(SUM($H$2:$H$101)/SUM($D$2:$D$101))*100</f>
        <v>79.28057553956836</v>
      </c>
      <c r="I105" s="14">
        <f>(SUM($I$2:$I$101)/SUM($D$2:$D$101))*100</f>
        <v>47.338129496402885</v>
      </c>
      <c r="J105" s="14">
        <f>(SUM($J$2:$J$101)/SUM($D$2:$D$101))*100</f>
        <v>38.489208633093533</v>
      </c>
      <c r="K105" s="14">
        <f>(SUM($K$2:$K$101)/SUM($D$2:$D$101))*100</f>
        <v>57.002398081534764</v>
      </c>
      <c r="L105" s="14">
        <f>(SUM($L$2:$L$101)/SUM($D$2:$D$101))*100</f>
        <v>68.84892086330936</v>
      </c>
      <c r="M105" s="14">
        <f>(SUM($M$2:$M$101)/SUM($D$2:$D$101))*100</f>
        <v>48.105515587529979</v>
      </c>
      <c r="N105" s="14">
        <f>(SUM($N$2:$N$101)/SUM($D$2:$D$101))*100</f>
        <v>74.556354916067136</v>
      </c>
    </row>
    <row r="107" spans="1:14" ht="18" x14ac:dyDescent="0.35">
      <c r="C107" s="15" t="s">
        <v>226</v>
      </c>
      <c r="D107" s="15" t="s">
        <v>227</v>
      </c>
    </row>
    <row r="108" spans="1:14" x14ac:dyDescent="0.3">
      <c r="C108" t="str" cm="1">
        <f t="array" ref="C108:C117">TRANSPOSE(E1:N1)</f>
        <v>Pinecone</v>
      </c>
      <c r="D108" s="16" cm="1">
        <f t="array" ref="D108:D117">TRANSPOSE(E105:N105)</f>
        <v>61.510791366906467</v>
      </c>
    </row>
    <row r="109" spans="1:14" x14ac:dyDescent="0.3">
      <c r="C109" t="str">
        <v>Weaviate</v>
      </c>
      <c r="D109" s="16">
        <v>74.844124700239817</v>
      </c>
    </row>
    <row r="110" spans="1:14" x14ac:dyDescent="0.3">
      <c r="C110" t="str">
        <v>Milvus</v>
      </c>
      <c r="D110" s="16">
        <v>77.529976019184659</v>
      </c>
    </row>
    <row r="111" spans="1:14" x14ac:dyDescent="0.3">
      <c r="C111" t="str">
        <v>Qdrant</v>
      </c>
      <c r="D111" s="16">
        <v>79.28057553956836</v>
      </c>
    </row>
    <row r="112" spans="1:14" x14ac:dyDescent="0.3">
      <c r="C112" t="str">
        <v>Chroma</v>
      </c>
      <c r="D112" s="16">
        <v>47.338129496402885</v>
      </c>
    </row>
    <row r="113" spans="3:4" x14ac:dyDescent="0.3">
      <c r="C113" t="str">
        <v>FAISS</v>
      </c>
      <c r="D113" s="16">
        <v>38.489208633093533</v>
      </c>
    </row>
    <row r="114" spans="3:4" x14ac:dyDescent="0.3">
      <c r="C114" t="str">
        <v>Pgvector</v>
      </c>
      <c r="D114" s="16">
        <v>57.002398081534764</v>
      </c>
    </row>
    <row r="115" spans="3:4" x14ac:dyDescent="0.3">
      <c r="C115" t="str">
        <v>MongoDB</v>
      </c>
      <c r="D115" s="16">
        <v>68.84892086330936</v>
      </c>
    </row>
    <row r="116" spans="3:4" x14ac:dyDescent="0.3">
      <c r="C116" t="str">
        <v>Turbopuffer</v>
      </c>
      <c r="D116" s="16">
        <v>48.105515587529979</v>
      </c>
    </row>
    <row r="117" spans="3:4" x14ac:dyDescent="0.3">
      <c r="C117" t="str">
        <v>OpenSearch</v>
      </c>
      <c r="D117" s="16">
        <v>74.556354916067136</v>
      </c>
    </row>
    <row r="119" spans="3:4" ht="18" x14ac:dyDescent="0.35">
      <c r="C119" s="15" t="s">
        <v>228</v>
      </c>
    </row>
    <row r="120" spans="3:4" x14ac:dyDescent="0.3">
      <c r="C120" t="str">
        <f>INDEX($C$108:$C$117, MATCH(LARGE($D$108:$D$117, ROW(A1)), $D$108:$D$117, 0))</f>
        <v>Qdrant</v>
      </c>
      <c r="D120" s="17">
        <f>LARGE($D$108:$D$117, ROW(A1))</f>
        <v>79.28057553956836</v>
      </c>
    </row>
    <row r="150" spans="3:12" ht="18" x14ac:dyDescent="0.35">
      <c r="C150" s="12"/>
      <c r="D150" s="13"/>
      <c r="E150" s="14"/>
      <c r="F150" s="14"/>
      <c r="G150" s="14"/>
      <c r="H150" s="14"/>
      <c r="I150" s="14"/>
      <c r="J150" s="14"/>
      <c r="K150" s="14"/>
      <c r="L150" s="14"/>
    </row>
  </sheetData>
  <dataValidations count="1">
    <dataValidation type="list" allowBlank="1" showInputMessage="1" showErrorMessage="1" promptTitle="Select Priority" prompt="Select Priority as 1 from Not Needed, Medium, High, Critical" sqref="C2:C101" xr:uid="{62AC62D4-EE5B-410D-B478-75878CC6863C}">
      <formula1>"Not Needed,Medium,High,Critical"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211F2-7722-442A-859F-581173876495}">
  <dimension ref="A1:N20"/>
  <sheetViews>
    <sheetView workbookViewId="0">
      <selection activeCell="C6" sqref="C6"/>
    </sheetView>
  </sheetViews>
  <sheetFormatPr defaultRowHeight="14.4" x14ac:dyDescent="0.3"/>
  <cols>
    <col min="1" max="1" width="30.88671875" customWidth="1"/>
    <col min="2" max="2" width="37.6640625" customWidth="1"/>
    <col min="3" max="3" width="42.5546875" customWidth="1"/>
    <col min="4" max="4" width="40.77734375" customWidth="1"/>
    <col min="5" max="5" width="42.88671875" customWidth="1"/>
  </cols>
  <sheetData>
    <row r="1" spans="1:14" ht="42.6" thickBot="1" x14ac:dyDescent="0.35">
      <c r="A1" s="2" t="s">
        <v>229</v>
      </c>
      <c r="B1" s="2" t="s">
        <v>230</v>
      </c>
      <c r="C1" s="2" t="s">
        <v>264</v>
      </c>
      <c r="D1" s="2" t="s">
        <v>231</v>
      </c>
      <c r="E1" s="2" t="s">
        <v>232</v>
      </c>
      <c r="F1" s="1"/>
      <c r="G1" s="1"/>
      <c r="H1" s="1"/>
      <c r="I1" s="1"/>
      <c r="J1" s="1"/>
      <c r="K1" s="1"/>
      <c r="L1" s="1"/>
      <c r="M1" s="1"/>
      <c r="N1" s="1"/>
    </row>
    <row r="2" spans="1:14" ht="54.6" thickBot="1" x14ac:dyDescent="0.35">
      <c r="A2" s="7" t="s">
        <v>3</v>
      </c>
      <c r="B2" s="8" t="s">
        <v>233</v>
      </c>
      <c r="C2" s="7">
        <v>5</v>
      </c>
      <c r="D2" s="8" t="s">
        <v>234</v>
      </c>
      <c r="E2" s="8" t="s">
        <v>235</v>
      </c>
      <c r="F2" s="1"/>
      <c r="G2" s="1"/>
      <c r="H2" s="1"/>
      <c r="I2" s="1"/>
      <c r="J2" s="1"/>
      <c r="K2" s="1"/>
      <c r="L2" s="1"/>
      <c r="M2" s="1"/>
      <c r="N2" s="1"/>
    </row>
    <row r="3" spans="1:14" ht="54.6" thickBot="1" x14ac:dyDescent="0.35">
      <c r="A3" s="7" t="s">
        <v>4</v>
      </c>
      <c r="B3" s="8" t="s">
        <v>236</v>
      </c>
      <c r="C3" s="7">
        <v>4</v>
      </c>
      <c r="D3" s="8" t="s">
        <v>237</v>
      </c>
      <c r="E3" s="8" t="s">
        <v>238</v>
      </c>
      <c r="F3" s="1"/>
      <c r="G3" s="1"/>
      <c r="H3" s="1"/>
      <c r="I3" s="1"/>
      <c r="J3" s="1"/>
      <c r="K3" s="1"/>
      <c r="L3" s="1"/>
      <c r="M3" s="1"/>
      <c r="N3" s="1"/>
    </row>
    <row r="4" spans="1:14" ht="54.6" thickBot="1" x14ac:dyDescent="0.35">
      <c r="A4" s="7" t="s">
        <v>5</v>
      </c>
      <c r="B4" s="8" t="s">
        <v>239</v>
      </c>
      <c r="C4" s="7">
        <v>4</v>
      </c>
      <c r="D4" s="8" t="s">
        <v>240</v>
      </c>
      <c r="E4" s="8" t="s">
        <v>241</v>
      </c>
      <c r="F4" s="1"/>
      <c r="G4" s="1"/>
      <c r="H4" s="1"/>
      <c r="I4" s="1"/>
      <c r="J4" s="1"/>
      <c r="K4" s="1"/>
      <c r="L4" s="1"/>
      <c r="M4" s="1"/>
      <c r="N4" s="1"/>
    </row>
    <row r="5" spans="1:14" ht="72.599999999999994" thickBot="1" x14ac:dyDescent="0.35">
      <c r="A5" s="7" t="s">
        <v>6</v>
      </c>
      <c r="B5" s="8" t="s">
        <v>242</v>
      </c>
      <c r="C5" s="7">
        <v>3</v>
      </c>
      <c r="D5" s="8" t="s">
        <v>243</v>
      </c>
      <c r="E5" s="8" t="s">
        <v>244</v>
      </c>
      <c r="F5" s="1"/>
      <c r="G5" s="1"/>
      <c r="H5" s="1"/>
      <c r="I5" s="1"/>
      <c r="J5" s="1"/>
      <c r="K5" s="1"/>
      <c r="L5" s="1"/>
      <c r="M5" s="1"/>
      <c r="N5" s="1"/>
    </row>
    <row r="6" spans="1:14" ht="54.6" thickBot="1" x14ac:dyDescent="0.35">
      <c r="A6" s="7" t="s">
        <v>7</v>
      </c>
      <c r="B6" s="8" t="s">
        <v>245</v>
      </c>
      <c r="C6" s="7">
        <v>1</v>
      </c>
      <c r="D6" s="8" t="s">
        <v>246</v>
      </c>
      <c r="E6" s="8" t="s">
        <v>247</v>
      </c>
      <c r="F6" s="1"/>
      <c r="G6" s="1"/>
      <c r="H6" s="1"/>
      <c r="I6" s="1"/>
      <c r="J6" s="1"/>
      <c r="K6" s="1"/>
      <c r="L6" s="1"/>
      <c r="M6" s="1"/>
      <c r="N6" s="1"/>
    </row>
    <row r="7" spans="1:14" ht="72.599999999999994" thickBot="1" x14ac:dyDescent="0.35">
      <c r="A7" s="7" t="s">
        <v>8</v>
      </c>
      <c r="B7" s="8" t="s">
        <v>248</v>
      </c>
      <c r="C7" s="7">
        <v>1</v>
      </c>
      <c r="D7" s="8" t="s">
        <v>249</v>
      </c>
      <c r="E7" s="8" t="s">
        <v>250</v>
      </c>
      <c r="F7" s="1"/>
      <c r="G7" s="1"/>
      <c r="H7" s="1"/>
      <c r="I7" s="1"/>
      <c r="J7" s="1"/>
      <c r="K7" s="1"/>
      <c r="L7" s="1"/>
      <c r="M7" s="1"/>
      <c r="N7" s="1"/>
    </row>
    <row r="8" spans="1:14" ht="72.599999999999994" thickBot="1" x14ac:dyDescent="0.35">
      <c r="A8" s="7" t="s">
        <v>9</v>
      </c>
      <c r="B8" s="8" t="s">
        <v>251</v>
      </c>
      <c r="C8" s="7">
        <v>2</v>
      </c>
      <c r="D8" s="8" t="s">
        <v>252</v>
      </c>
      <c r="E8" s="8" t="s">
        <v>253</v>
      </c>
      <c r="F8" s="1"/>
      <c r="G8" s="1"/>
      <c r="H8" s="1"/>
      <c r="I8" s="1"/>
      <c r="J8" s="1"/>
      <c r="K8" s="1"/>
      <c r="L8" s="1"/>
      <c r="M8" s="1"/>
      <c r="N8" s="1"/>
    </row>
    <row r="9" spans="1:14" ht="72.599999999999994" thickBot="1" x14ac:dyDescent="0.35">
      <c r="A9" s="7" t="s">
        <v>254</v>
      </c>
      <c r="B9" s="8" t="s">
        <v>255</v>
      </c>
      <c r="C9" s="7">
        <v>3</v>
      </c>
      <c r="D9" s="8" t="s">
        <v>256</v>
      </c>
      <c r="E9" s="8" t="s">
        <v>257</v>
      </c>
      <c r="F9" s="1"/>
      <c r="G9" s="1"/>
      <c r="H9" s="1"/>
      <c r="I9" s="1"/>
      <c r="J9" s="1"/>
      <c r="K9" s="1"/>
      <c r="L9" s="1"/>
      <c r="M9" s="1"/>
      <c r="N9" s="1"/>
    </row>
    <row r="10" spans="1:14" ht="54.6" thickBot="1" x14ac:dyDescent="0.35">
      <c r="A10" s="7" t="s">
        <v>11</v>
      </c>
      <c r="B10" s="8" t="s">
        <v>258</v>
      </c>
      <c r="C10" s="7">
        <v>1</v>
      </c>
      <c r="D10" s="8" t="s">
        <v>259</v>
      </c>
      <c r="E10" s="8" t="s">
        <v>260</v>
      </c>
      <c r="F10" s="1"/>
      <c r="G10" s="1"/>
      <c r="H10" s="1"/>
      <c r="I10" s="1"/>
      <c r="J10" s="1"/>
      <c r="K10" s="1"/>
      <c r="L10" s="1"/>
      <c r="M10" s="1"/>
      <c r="N10" s="1"/>
    </row>
    <row r="11" spans="1:14" ht="54" x14ac:dyDescent="0.3">
      <c r="A11" s="9" t="s">
        <v>12</v>
      </c>
      <c r="B11" s="10" t="s">
        <v>261</v>
      </c>
      <c r="C11" s="9">
        <v>4</v>
      </c>
      <c r="D11" s="10" t="s">
        <v>262</v>
      </c>
      <c r="E11" s="10" t="s">
        <v>263</v>
      </c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Platform_DB</vt:lpstr>
      <vt:lpstr>Evaluation_Engine</vt:lpstr>
      <vt:lpstr>Tools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Kulkarni</dc:creator>
  <cp:lastModifiedBy>Amit Kulkarni</cp:lastModifiedBy>
  <dcterms:created xsi:type="dcterms:W3CDTF">2026-06-28T15:15:03Z</dcterms:created>
  <dcterms:modified xsi:type="dcterms:W3CDTF">2026-07-14T16:03:24Z</dcterms:modified>
</cp:coreProperties>
</file>