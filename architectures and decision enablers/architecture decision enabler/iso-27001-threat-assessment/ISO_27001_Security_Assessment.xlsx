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ISO27001_SECURITY_ASSESSMENT\"/>
    </mc:Choice>
  </mc:AlternateContent>
  <xr:revisionPtr revIDLastSave="0" documentId="13_ncr:1_{4BA51555-B993-42EA-A07A-E7CEEE36DED3}" xr6:coauthVersionLast="47" xr6:coauthVersionMax="47" xr10:uidLastSave="{00000000-0000-0000-0000-000000000000}"/>
  <bookViews>
    <workbookView xWindow="-108" yWindow="-108" windowWidth="23256" windowHeight="12456" xr2:uid="{D62D5DFD-F87A-4D1C-B4C2-9718B4BFE1A3}"/>
  </bookViews>
  <sheets>
    <sheet name="User_Responses" sheetId="1" r:id="rId1"/>
    <sheet name="Results" sheetId="3" r:id="rId2"/>
    <sheet name="Results Interpretation"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D58" i="1" a="1"/>
  <c r="D59" i="1" a="1"/>
  <c r="D60" i="1" a="1"/>
  <c r="D61" i="1" a="1"/>
  <c r="D62" i="1" a="1"/>
  <c r="D63" i="1" a="1"/>
  <c r="D64" i="1" a="1"/>
  <c r="D65" i="1" a="1"/>
  <c r="D66" i="1" a="1"/>
  <c r="D67" i="1" a="1"/>
  <c r="D68" i="1" a="1"/>
  <c r="D69" i="1" a="1"/>
  <c r="D70" i="1" a="1"/>
  <c r="D71" i="1" a="1"/>
  <c r="D72" i="1" a="1"/>
  <c r="D73" i="1" a="1"/>
  <c r="D74" i="1" a="1"/>
  <c r="D75" i="1" a="1"/>
  <c r="D76" i="1" a="1"/>
  <c r="D2" i="1" a="1"/>
  <c r="B7" i="3" l="1"/>
  <c r="D7" i="3" s="1"/>
  <c r="B15" i="3"/>
  <c r="D15" i="3" s="1"/>
  <c r="B14" i="3"/>
  <c r="D14" i="3" s="1"/>
  <c r="B13" i="3"/>
  <c r="D13" i="3" s="1"/>
  <c r="B12" i="3"/>
  <c r="D12" i="3" s="1"/>
  <c r="B11" i="3"/>
  <c r="D11" i="3" s="1"/>
  <c r="B10" i="3"/>
  <c r="D10" i="3" s="1"/>
  <c r="B9" i="3"/>
  <c r="D9" i="3" s="1"/>
  <c r="B8" i="3"/>
  <c r="D8" i="3" s="1"/>
  <c r="B6" i="3"/>
  <c r="D6" i="3" s="1"/>
  <c r="B5" i="3"/>
  <c r="D5" i="3" s="1"/>
  <c r="B4" i="3"/>
  <c r="D4" i="3" s="1"/>
  <c r="B3" i="3"/>
  <c r="D3" i="3" s="1"/>
  <c r="B2" i="3"/>
  <c r="D2" i="3" s="1"/>
  <c r="C18" i="3" l="1"/>
  <c r="C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<sst xmlns="http://schemas.openxmlformats.org/spreadsheetml/2006/main" count="285" uniqueCount="123">
  <si>
    <t>Category</t>
  </si>
  <si>
    <t>Client-Specific Question</t>
  </si>
  <si>
    <t>User Priority</t>
  </si>
  <si>
    <t>User Score</t>
  </si>
  <si>
    <t>B</t>
  </si>
  <si>
    <t>C</t>
  </si>
  <si>
    <t>A</t>
  </si>
  <si>
    <t>D</t>
  </si>
  <si>
    <t>Category Score Formula</t>
  </si>
  <si>
    <t>Weight Multipliers</t>
  </si>
  <si>
    <t>Weighted Scores</t>
  </si>
  <si>
    <t>Global Weighted Score</t>
  </si>
  <si>
    <t>Row Labels</t>
  </si>
  <si>
    <t>Grand Total</t>
  </si>
  <si>
    <t>Sum of Weighted Scores</t>
  </si>
  <si>
    <t>Sum of Weight Multipliers</t>
  </si>
  <si>
    <t>Access Control: Identity Verification</t>
  </si>
  <si>
    <r>
      <rPr>
        <u/>
        <sz val="12"/>
        <color theme="1"/>
        <rFont val="Calibri"/>
        <family val="2"/>
        <scheme val="minor"/>
      </rPr>
      <t>Multi-Factor Authentication (MFA) Scope</t>
    </r>
    <r>
      <rPr>
        <sz val="12"/>
        <color theme="1"/>
        <rFont val="Calibri"/>
        <family val="2"/>
        <scheme val="minor"/>
      </rPr>
      <t xml:space="preserve">
A) Phishing-resistant MFA (FIDO2) is technically enforced for every user across all corporate portals and cloud environments.
B) MFA via push apps is active globally, but exceptions are manually handled without centralized policy blocks.
C) MFA is enforced only for external remote connections or privileged administrative profiles.
D) Systems allow access via basic static passwords with zero secondary verification factors</t>
    </r>
  </si>
  <si>
    <r>
      <rPr>
        <u/>
        <sz val="12"/>
        <color theme="1"/>
        <rFont val="Calibri"/>
        <family val="2"/>
        <scheme val="minor"/>
      </rPr>
      <t>SSO Integration Depth</t>
    </r>
    <r>
      <rPr>
        <sz val="12"/>
        <color theme="1"/>
        <rFont val="Calibri"/>
        <family val="2"/>
        <scheme val="minor"/>
      </rPr>
      <t xml:space="preserve">
A) Every internal, cloud, and third-party SaaS tool mandates Single Sign-On (SSO) with device health verification.
B) SSO gates core business applications, but internal development tools operate on unlinked access pools
C) Applications use software tokens independently, forcing users to manage multiple corporate authentication keys.
D) Individual software installations maintain isolated, static login pools with zero directory mapping.</t>
    </r>
  </si>
  <si>
    <r>
      <rPr>
        <u/>
        <sz val="12"/>
        <color theme="1"/>
        <rFont val="Calibri"/>
        <family val="2"/>
        <scheme val="minor"/>
      </rPr>
      <t>Password Policy Enforcement</t>
    </r>
    <r>
      <rPr>
        <sz val="12"/>
        <color theme="1"/>
        <rFont val="Calibri"/>
        <family val="2"/>
        <scheme val="minor"/>
      </rPr>
      <t xml:space="preserve">
A) Systems require 16-character keys and check passwords against compromised credential databases automatically.
B) Group policies require 12 characters and complex notation, but lack dictionary block lists.
C) Systems enforce simple 8-character limits, allowing users to select predictable text strings.
D) Passwords lack length or character rules, allowing users to set weak or default strings.</t>
    </r>
  </si>
  <si>
    <r>
      <rPr>
        <u/>
        <sz val="12"/>
        <color theme="1"/>
        <rFont val="Calibri"/>
        <family val="2"/>
        <scheme val="minor"/>
      </rPr>
      <t>Device Posture-Based Authentication</t>
    </r>
    <r>
      <rPr>
        <sz val="12"/>
        <color theme="1"/>
        <rFont val="Calibri"/>
        <family val="2"/>
        <scheme val="minor"/>
      </rPr>
      <t xml:space="preserve">
A) Identity providers analyze endpoint compliance metrics dynamically, blocking connections from unmanaged hardware.
B) Portals check corporate MDM registrations during login loops, but skip continuous validation checking.
C) Access filters look at static IP properties without analyzing endpoint security metrics.
D) Portals accept incoming connections from any hardware device without checking compliance baselines</t>
    </r>
  </si>
  <si>
    <r>
      <rPr>
        <u/>
        <sz val="12"/>
        <color theme="1"/>
        <rFont val="Calibri"/>
        <family val="2"/>
        <scheme val="minor"/>
      </rPr>
      <t>Programmatic API Authentication</t>
    </r>
    <r>
      <rPr>
        <sz val="12"/>
        <color theme="1"/>
        <rFont val="Calibri"/>
        <family val="2"/>
        <scheme val="minor"/>
      </rPr>
      <t xml:space="preserve">
A) Inter-service interactions use short-lived, mutual TLS (mTLS) identities containing cryptographically verified attributes.
B) Programmatic links use static API keys that undergo mandatory manual rotations every 90 days.
C) 0.75: Non-human integrations share long-lived database access codes inside internal script parameters.
D)1.00: Programmatic data pathways connect without token validation or source identification metrics.</t>
    </r>
  </si>
  <si>
    <t>Access Control: Privileged Access</t>
  </si>
  <si>
    <r>
      <t xml:space="preserve">Just-In-Time (JIT) Activation
</t>
    </r>
    <r>
      <rPr>
        <sz val="12"/>
        <color theme="1"/>
        <rFont val="Calibri"/>
        <family val="2"/>
        <scheme val="minor"/>
      </rPr>
      <t>A) Privilege escalation uses automated Just-In-Time (JIT) workflows that clear all elevated permissions within 1 hour.
B) Elevated access follows manual engineering request sign-offs, remaining active for a full business day.
C) High-level permissions reside permanently on standard user profiles, relying on verbal policy to prevent abuse.
D) Shared administrator keys are stored on unprotected systems with zero isolation parameters.</t>
    </r>
  </si>
  <si>
    <r>
      <t xml:space="preserve">Privileged Account Log Isolation
</t>
    </r>
    <r>
      <rPr>
        <sz val="12"/>
        <color theme="1"/>
        <rFont val="Calibri"/>
        <family val="2"/>
        <scheme val="minor"/>
      </rPr>
      <t>A) Root and administrative logs are streamed out in real-time to an immutable, centralized SIEM repository.
B) Audit logs are sent to a central logging server daily, but local file modification permissions remain unhardened.
C) System events are collected locally on the system, making them vulnerable to deletion by a malicious admin.
D) Privileged activities are completely untraceable, and system actions cannot be tied back to a specific individual.</t>
    </r>
  </si>
  <si>
    <r>
      <t xml:space="preserve">Shared/Generic Admin Account Prohibitions
</t>
    </r>
    <r>
      <rPr>
        <sz val="12"/>
        <color theme="1"/>
        <rFont val="Calibri"/>
        <family val="2"/>
        <scheme val="minor"/>
      </rPr>
      <t>A) Individual credential assignment is mandatory; team-wide or shared administrative profiles are technically blocked.
B) Personal accounts are used for login, but administrative tasks escalate to a shared root account.
C) Team groups utilize shared access codes, but track usage via manual paper sign-in logs.
D) Multiple staff share generic operator credentials simultaneously, breaking all accountability.</t>
    </r>
  </si>
  <si>
    <r>
      <t xml:space="preserve">Domain Controller / Root Tenant Hardening
</t>
    </r>
    <r>
      <rPr>
        <sz val="12"/>
        <color theme="1"/>
        <rFont val="Calibri"/>
        <family val="2"/>
        <scheme val="minor"/>
      </rPr>
      <t>A) The secure root zone uses a completely isolated, single-purpose directory structure with zero trust relationships to general networks.
B) Systems reside in a dedicated child domain, but share a forest root with general enterprise IT.
C) Systems are segregated using group definitions and OU permissions within the primary enterprise domain controller.
D) System spaces share the same enterprise Active Directory infrastructure and admin accounts with zero logical segregation.</t>
    </r>
  </si>
  <si>
    <r>
      <t xml:space="preserve">API Access Key Rotation Frequency
</t>
    </r>
    <r>
      <rPr>
        <sz val="12"/>
        <color theme="1"/>
        <rFont val="Calibri"/>
        <family val="2"/>
        <scheme val="minor"/>
      </rPr>
      <t>A) High-privilege API management keys are systematically rotated every 30 days via automated script tasks.
B) Programmatic access keys require rotation every 90 days, but change execution requires manual script restarts.
C) Key rotation happens reactively following team departures or suspected credential exposure events.
D) Programmatic access keys have never been rotated since the initial creation of the cloud tenant environment.</t>
    </r>
  </si>
  <si>
    <t>Operations: Endpoint Protection &amp; Hygiene</t>
  </si>
  <si>
    <r>
      <t xml:space="preserve">Endpoint Detection and Response (EDR) Coverage
</t>
    </r>
    <r>
      <rPr>
        <b/>
        <u/>
        <sz val="12"/>
        <color theme="1"/>
        <rFont val="Calibri"/>
        <family val="2"/>
        <scheme val="minor"/>
      </rPr>
      <t xml:space="preserve">
</t>
    </r>
    <r>
      <rPr>
        <sz val="12"/>
        <color theme="1"/>
        <rFont val="Calibri"/>
        <family val="2"/>
        <scheme val="minor"/>
      </rPr>
      <t>A) Cloud-optimized EDR agents are baked into every image to block execution memory manipulation and file integrity shifts.
B) Antivirus engines track known malware file hashes, but lack behavioral analytics to identify advanced attack techniques.
C) Endpoint logging monitors core performance markers rather than actively checking for malicious process anomalies.
D) Compute nodes run with zero host-level endpoint tools, leaving execution layers unmonitored</t>
    </r>
  </si>
  <si>
    <r>
      <t xml:space="preserve">Automated Host Remediation
</t>
    </r>
    <r>
      <rPr>
        <sz val="12"/>
        <color theme="1"/>
        <rFont val="Calibri"/>
        <family val="2"/>
        <scheme val="minor"/>
      </rPr>
      <t xml:space="preserve">
A)  Detection of endpoint threat parameters triggers immediate, automated network isolation at the hardware level.
B) System threats trigger ticket notifications, requiring security engineering teams to manually isolate the host.
C) Compromises trigger alert updates on security dashboards, which are reviewed during scheduled check sweeps.
D) Isolated network response tools are absent, allowing threat scripts to move laterally across systems.</t>
    </r>
  </si>
  <si>
    <r>
      <t xml:space="preserve">Removable Media Port Controls
</t>
    </r>
    <r>
      <rPr>
        <b/>
        <u/>
        <sz val="12"/>
        <color theme="1"/>
        <rFont val="Calibri"/>
        <family val="2"/>
        <scheme val="minor"/>
      </rPr>
      <t xml:space="preserve">
</t>
    </r>
    <r>
      <rPr>
        <sz val="12"/>
        <color theme="1"/>
        <rFont val="Calibri"/>
        <family val="2"/>
        <scheme val="minor"/>
      </rPr>
      <t>A) Removable media drives are strictly disabled at the OS/kernel level across all zone endpoints via centralized policy.
B) Mass storage is blocked by default, but exceptions are manually provisioned for temporary administration needs.
C) Use of USB or external storage relies purely on an unmonitored corporate policy without technical enforcement.
D) Removable media drives are completely unblocked, allowing files and configurations to be copied freely.</t>
    </r>
  </si>
  <si>
    <r>
      <t xml:space="preserve">Host Configuration Enforcement
</t>
    </r>
    <r>
      <rPr>
        <sz val="12"/>
        <color theme="1"/>
        <rFont val="Calibri"/>
        <family val="2"/>
        <scheme val="minor"/>
      </rPr>
      <t xml:space="preserve">
A) Golden images are automatically hardened to CIS Benchmarks and re-built weekly via automated pipelines.
B) Images follow documented internal templates, but baseline configuration auditing happens manually on a monthly cycle.
C) Servers pull stock vendor images directly from open marketplace mirrors without custom configuration adjustments.
D) Computing nodes deploy outdated, unhardened operating system builds containing obsolete system tools.</t>
    </r>
  </si>
  <si>
    <r>
      <t xml:space="preserve">Disk Encryption Compliance
</t>
    </r>
    <r>
      <rPr>
        <b/>
        <u/>
        <sz val="12"/>
        <color theme="1"/>
        <rFont val="Calibri"/>
        <family val="2"/>
        <scheme val="minor"/>
      </rPr>
      <t xml:space="preserve">
</t>
    </r>
    <r>
      <rPr>
        <sz val="12"/>
        <color theme="1"/>
        <rFont val="Calibri"/>
        <family val="2"/>
        <scheme val="minor"/>
      </rPr>
      <t>A) Platform configurations mandate full disk encryption with TPM hardware tracking, dropping network links on key errors.
B) Encryption is active via central group policies, but compliance validation relies on periodic manual reviews.
C) Disk encryption parameters use baseline manufacturer defaults without centralized validation or reporting tools.
D) Hard drives sit completely unencrypted in cleartext, exposing stored data to physical theft extraction.</t>
    </r>
  </si>
  <si>
    <t>System Monitoring: Logging &amp; SIEM</t>
  </si>
  <si>
    <r>
      <t xml:space="preserve">Log Ingestion Coverage
</t>
    </r>
    <r>
      <rPr>
        <sz val="12"/>
        <color theme="1"/>
        <rFont val="Calibri"/>
        <family val="2"/>
        <scheme val="minor"/>
      </rPr>
      <t>A) Centralized SIEM platforms ingest all infrastructure, identity, and database logs in real-time using secure syslog streams.
B) Activity logs collect inside a centralized database daily, but monitoring relies on manual keyword matching.
C) Telemetry records compile locally on individual application servers, creating visibility gaps during incidents.
D) Application tracking is deactivated across workloads, leaving actions and model behaviors unrecorded.</t>
    </r>
  </si>
  <si>
    <r>
      <t xml:space="preserve">Log Retention Duration
</t>
    </r>
    <r>
      <rPr>
        <sz val="12"/>
        <color theme="1"/>
        <rFont val="Calibri"/>
        <family val="2"/>
        <scheme val="minor"/>
      </rPr>
      <t>A) System event records feed into an encrypted, unmodifiable vault with an automated 365-day lifecycle policy.
B) System tracking records are kept for 90 days, but live inside the main operating space where they are vulnerable to alteration.
C) Log retention parameters are set to short 14-day intervals to minimize cloud storage cost overheads.
D) Management action tracking features are disabled, leaving the environment without any historic event records</t>
    </r>
  </si>
  <si>
    <r>
      <t xml:space="preserve">Log Tamper Protection
</t>
    </r>
    <r>
      <rPr>
        <sz val="12"/>
        <color theme="1"/>
        <rFont val="Calibri"/>
        <family val="2"/>
        <scheme val="minor"/>
      </rPr>
      <t>A) Logs stream to WORM (Write-Once-Read-Many) storage buckets that use separate encryption keys outside administrative groups.
B) Storage settings apply read-only tags, but any user with root tenant permissions can delete the log files.
C) Log files reside in standard directories, relying entirely on basic file system permissions for safety.
D) Event files sit inside open local directories where any administrative connection can alter or delete them</t>
    </r>
  </si>
  <si>
    <r>
      <t xml:space="preserve">Threat Event Correlation
</t>
    </r>
    <r>
      <rPr>
        <sz val="12"/>
        <color theme="1"/>
        <rFont val="Calibri"/>
        <family val="2"/>
        <scheme val="minor"/>
      </rPr>
      <t>A) Machine learning engines track environment behavior to identify anomalous credential use or mass data transfers instantly.
B) Detection tools use basic static rules, which often miss advanced, slow-moving attacks across system enclaves.
C) Identification mechanisms monitor standard performance changes rather than tracking behavioral indicators.
D) Pattern analytics are completely absent, allowing unauthorized actions to bypass detection perimeters.</t>
    </r>
  </si>
  <si>
    <r>
      <t xml:space="preserve">Security Alert Latency
</t>
    </r>
    <r>
      <rPr>
        <sz val="12"/>
        <color theme="1"/>
        <rFont val="Calibri"/>
        <family val="2"/>
        <scheme val="minor"/>
      </rPr>
      <t>A) Security incident alerts route to operational groups within 60 seconds of event execution.
B) Detection alerts use scheduled batch processing cycles, creating 30-to-60-minute delays before notification.
C) Alert reviews occur during manual daily check sweeps, causing significant remediation backlogs.
D) Alert notifications are disabled, leaving administrators unaware of critical infrastructure failures.</t>
    </r>
  </si>
  <si>
    <t>Change Management: Software Delivery</t>
  </si>
  <si>
    <r>
      <t xml:space="preserve">Production Code Peer Review Trails
</t>
    </r>
    <r>
      <rPr>
        <sz val="12"/>
        <color theme="1"/>
        <rFont val="Calibri"/>
        <family val="2"/>
        <scheme val="minor"/>
      </rPr>
      <t xml:space="preserve">
A) Branch protection rules programmatically block merges until cryptographically signed peer approvals match git tracking histories.
B) Peer reviews are completed for production changes, but validations are reviewed manually on pull requests without pipeline locks.
C) Code modifications follow basic verification checklists, but lack explicit audit logs linking approvals to deployments.
D) Code adjustments deploy directly to production environments without peer tracking, authorization gates, or formal reviews.</t>
    </r>
  </si>
  <si>
    <r>
      <t xml:space="preserve">Automated Pipeline Scanning Integration
</t>
    </r>
    <r>
      <rPr>
        <sz val="12"/>
        <color theme="1"/>
        <rFont val="Calibri"/>
        <family val="2"/>
        <scheme val="minor"/>
      </rPr>
      <t xml:space="preserve">
A) Build pipelines evaluate application security parameters automatically, blocking releases that contain critical CVE code flaws.
B) Vulnerability scanners monitor software builds, but lack automated rules to block deployments when failures occur.
C) Software security evaluation happens manually via ad-hoc scans prior to major infrastructure version breaks.
D) Software deployment pipelines skip pre-production analysis steps, allowing unverified software builds to reach production.</t>
    </r>
  </si>
  <si>
    <r>
      <t xml:space="preserve">Production Environment Privilege Segregation
</t>
    </r>
    <r>
      <rPr>
        <sz val="12"/>
        <color theme="1"/>
        <rFont val="Calibri"/>
        <family val="2"/>
        <scheme val="minor"/>
      </rPr>
      <t xml:space="preserve">
A) Standard developer accounts have zero write access to production; deployment occurs exclusively via automated runners.
B) Personnel utilize dedicated production accounts, but access keys remain static and require manual tracking loops.
C) Developers share generic administrative keys temporarily, relying on verbal engineering policy to prevent unauthorized modifications.
D) Development teams retain permanent high-level write access to production environments on daily operational profiles.</t>
    </r>
  </si>
  <si>
    <r>
      <t xml:space="preserve">Rollback and Recovery Testing Records
</t>
    </r>
    <r>
      <rPr>
        <sz val="12"/>
        <color theme="1"/>
        <rFont val="Calibri"/>
        <family val="2"/>
        <scheme val="minor"/>
      </rPr>
      <t>A) Continuous integration pipelines execute automated rollback scripts during testing, generating verification logs automatically.
B) Environment restoration procedures are documented and verified manually by engineering teams twice a year.
C) Rollbacks require custom, ad-hoc scripting steps from engineers when code deployments cause production failures.
D) Software recovery mechanisms are completely undocumented, and environment rollbacks have never been formally verified.</t>
    </r>
  </si>
  <si>
    <r>
      <t xml:space="preserve">Emergency Change Management Approvals
</t>
    </r>
    <r>
      <rPr>
        <sz val="12"/>
        <color theme="1"/>
        <rFont val="Calibri"/>
        <family val="2"/>
        <scheme val="minor"/>
      </rPr>
      <t>A) Hotfix deployments require automated multi-signature tickets that log post-incident justifications within an hour.
B) Emergency adjustments require verbal alignment with engineering heads, generating follow-up Jira tickets the next business day.
C) Changes bypass standard pipeline checks during outages, relying on chat messages to document authorization actions.
D) Hotfixes are applied directly to production environments by individual developers without authorization gates or logging.</t>
    </r>
  </si>
  <si>
    <t>Change Management: Infrastructure as Code</t>
  </si>
  <si>
    <r>
      <t xml:space="preserve">Infrastructure Blueprint Version Control
</t>
    </r>
    <r>
      <rPr>
        <sz val="12"/>
        <color theme="1"/>
        <rFont val="Calibri"/>
        <family val="2"/>
        <scheme val="minor"/>
      </rPr>
      <t>A) All infrastructure configurations deploy via centralized, peer-reviewed git repositories with immutable version tags.
B) Architecture models follow documented configuration files, but modifications occur outside git management interfaces periodically.
C) Environments deploy using local server tracking tables, relying on manual entry forms when updates occur.
D) Infrastructure parameters are adjusted manually via cloud consoles without version control or central blueprint files.</t>
    </r>
  </si>
  <si>
    <r>
      <t xml:space="preserve">Configuration Drift Automated Alignment
</t>
    </r>
    <r>
      <rPr>
        <sz val="12"/>
        <color theme="1"/>
        <rFont val="Calibri"/>
        <family val="2"/>
        <scheme val="minor"/>
      </rPr>
      <t>A) Drift scanners check production settings every hour, rolling back unauthorized configuration updates automatically.
B) Scan sweeps identify manual configuration updates every week, generating compliance notification alerts.
C) Configuration discrepancies are identified manually during infrastructure tracking reviews every quarter.
D) System parameters drift unchecked due to the lack of automated tracking tools, logging, or alignment baselines.</t>
    </r>
  </si>
  <si>
    <r>
      <t xml:space="preserve">Environment Logical Separation
</t>
    </r>
    <r>
      <rPr>
        <sz val="12"/>
        <color theme="1"/>
        <rFont val="Calibri"/>
        <family val="2"/>
        <scheme val="minor"/>
      </rPr>
      <t>A) Development, testing, and production environments run in completely separate cloud accounts with zero cross-tenant links.
B) Environments split logic using unique resource groups, but share the same base network routing structures.
C) Development and production assets run on shared hardware nodes, relying on local tags for identification.
D) Testing and production workloads operate unsegregated within a single cloud account with shared access rules</t>
    </r>
  </si>
  <si>
    <r>
      <t xml:space="preserve">Infrastructure Change Approval Audit Trails
</t>
    </r>
    <r>
      <rPr>
        <sz val="12"/>
        <color theme="1"/>
        <rFont val="Calibri"/>
        <family val="2"/>
        <scheme val="minor"/>
      </rPr>
      <t>A) Architectural modifications generate cryptographic approval logs that map directly to central change ticket registries.
B) Modifications follow standard helpdesk tickets, but verification requires manually matching logs to deployment timestamps.
C) Adjustments require manager approval emails, but lack technical frameworks to verify configuration changes.
D) Infrastructure settings are modified by individual engineers without change management tickets or authorization histories.</t>
    </r>
  </si>
  <si>
    <r>
      <t xml:space="preserve">Database Schema Migration Controls
</t>
    </r>
    <r>
      <rPr>
        <sz val="12"/>
        <color theme="1"/>
        <rFont val="Calibri"/>
        <family val="2"/>
        <scheme val="minor"/>
      </rPr>
      <t xml:space="preserve">A) Schema updates run via automated migration pipelines that validate data integrity constraints prior to processing.
B) Migrations require scheduled maintenance windows and manual script tracking reviews by database engineering teams.
C) Database structural updates utilize manual SQL command entries over live production connections during slow hours.
D) Database schemas update on an ad-hoc basis without testing scripts, backup checkpoints, or validation gates. </t>
    </r>
  </si>
  <si>
    <t>Network Security: Perimeter &amp; Segmentation</t>
  </si>
  <si>
    <r>
      <t xml:space="preserve">Network Boundary Micro-Segmentation
</t>
    </r>
    <r>
      <rPr>
        <sz val="12"/>
        <color theme="1"/>
        <rFont val="Calibri"/>
        <family val="2"/>
        <scheme val="minor"/>
      </rPr>
      <t xml:space="preserve">
A) Infrastructure segments enforce explicit zero-trust micro-segmentation down to individual host workloads using software-defined rules.
B) Networks split using internal firewalls, but permit broad lateral communication between instances inside shared subnets.
C) Segmentation relies on basic VLAN segregation, which is vulnerable to lateral movement if an endpoint is compromised.
D) Core infrastructure operates on a flat network segment with zero boundaries, firewalls, or routing restrictions.</t>
    </r>
  </si>
  <si>
    <r>
      <t xml:space="preserve">Public Ingress Access Points Management
</t>
    </r>
    <r>
      <rPr>
        <sz val="12"/>
        <color theme="1"/>
        <rFont val="Calibri"/>
        <family val="2"/>
        <scheme val="minor"/>
      </rPr>
      <t xml:space="preserve">
A) Internal components are completely hidden from the web; ingress requires cloud access proxies with multi-factor tokens.
B) Public gateways filter traffic through specific external IP ranges, which requires monthly manual audits to maintain accuracy.
C) Entry perimeters utilize static firewall tables that are rarely updated and contain overly permissive definitions.
D) Management routes are exposed directly to the public web, allowing brute-force attempts from any external host.</t>
    </r>
  </si>
  <si>
    <r>
      <t xml:space="preserve">Outbound Egress Traffic Controls
</t>
    </r>
    <r>
      <rPr>
        <sz val="12"/>
        <color theme="1"/>
        <rFont val="Calibri"/>
        <family val="2"/>
        <scheme val="minor"/>
      </rPr>
      <t xml:space="preserve">
A) Perimeter nodes drop all outbound packets except to explicitly whitelisted external targets via forward proxies.
B) Proxies restrict outbound destinations by domain lists, but do not execute deep SSL inspection on payload contents.
C) Outbound rules allow broad internet browsing zones for any device registered on the local network path.
D) Compute nodes possess unhindered outbound routing to any external internet endpoint without proxy tracking.</t>
    </r>
  </si>
  <si>
    <r>
      <t xml:space="preserve">Firewall Rule Review Frequency
</t>
    </r>
    <r>
      <rPr>
        <sz val="12"/>
        <color theme="1"/>
        <rFont val="Calibri"/>
        <family val="2"/>
        <scheme val="minor"/>
      </rPr>
      <t xml:space="preserve">
A) Automated compliance tools evaluate network boundary definitions daily to flag unaligned configurations instantly.
B) Network engineering groups review firewall rules manually every quarter against documented baseline policies.
C) Boundary rules undergo evaluation only before formal annual compliance audits or following network outages.
D) Firewall configurations are never reviewed, allowing out-of-date rules to persist indefinitely across network paths.</t>
    </r>
  </si>
  <si>
    <r>
      <t xml:space="preserve">Intrusion Detection Monitoring Integration
</t>
    </r>
    <r>
      <rPr>
        <sz val="12"/>
        <color theme="1"/>
        <rFont val="Calibri"/>
        <family val="2"/>
        <scheme val="minor"/>
      </rPr>
      <t>A)  Real-time traffic analyzers run continuous packet deep-inspection loops, routing threat events to an active SIEM.
B)  Boundary firewalls record connection metadata logs, but event analysis depends on manual parsing rules.
C) Tracking mechanisms operate in isolated product silos, requiring manual aggregation during post-incident reviews.
D) Network monitoring platforms lack threat identification alerts, allowing irregular traffic patterns to pass unrecorded.</t>
    </r>
  </si>
  <si>
    <t>Encryption: Data Rest &amp; Transit Lifecycle</t>
  </si>
  <si>
    <r>
      <rPr>
        <u/>
        <sz val="12"/>
        <color theme="1"/>
        <rFont val="Calibri"/>
        <family val="2"/>
        <scheme val="minor"/>
      </rPr>
      <t xml:space="preserve">Inactive Datastore Master Encryption Keys
</t>
    </r>
    <r>
      <rPr>
        <sz val="12"/>
        <color theme="1"/>
        <rFont val="Calibri"/>
        <family val="2"/>
        <scheme val="minor"/>
      </rPr>
      <t xml:space="preserve">
A) Storage volumes and databases use Customer-Managed Keys (CMK) via cloud KMS with automated annual rotation.
B) Data is encrypted using cloud provider-managed default platform keys, but rotation cannot be customized or verified.
C) Encrypted data uses software-level file tools without centralized lifecycle tracking or key metrics.
D) Production databases, storage buckets, and server disks are left unencrypted in cleartext at the infrastructure level.</t>
    </r>
  </si>
  <si>
    <r>
      <t xml:space="preserve">Data-in-Transit Protocol Enforcement
</t>
    </r>
    <r>
      <rPr>
        <sz val="12"/>
        <color theme="1"/>
        <rFont val="Calibri"/>
        <family val="2"/>
        <scheme val="minor"/>
      </rPr>
      <t xml:space="preserve">
A) Enforced globally via automated perimeter policies dropping all connections failing to use HTTPS/TLS 1.3 configurations.
B) Connections use TLS 1.2, but perimeter gateways tolerate older legacy protocols for backward compatibility.
C) Encryption in-transit relies entirely on manual application settings without centralized network enforcement rules.
D) Internal data flows and public web applications transmit data unencrypted over plaintext HTTP channels.</t>
    </r>
  </si>
  <si>
    <r>
      <rPr>
        <u/>
        <sz val="12"/>
        <color theme="1"/>
        <rFont val="Calibri"/>
        <family val="2"/>
        <scheme val="minor"/>
      </rPr>
      <t xml:space="preserve">Transport Cipher Suite Hardening
</t>
    </r>
    <r>
      <rPr>
        <sz val="12"/>
        <color theme="1"/>
        <rFont val="Calibri"/>
        <family val="2"/>
        <scheme val="minor"/>
      </rPr>
      <t xml:space="preserve">
A) Network gateways actively block weak ciphers and require forward secrecy configurations exclusively.
B) Modern ciphers are preferred, but security profiles permit legacy configurations to avoid service drops.
C) Cipher parameters use out-of-the-box load balancer defaults with no manual hardening or alignment reviews.
D) Gateway parameters allow obsolete, vulnerable ciphers, exposing communication channels to decryption.</t>
    </r>
  </si>
  <si>
    <r>
      <rPr>
        <u/>
        <sz val="12"/>
        <color theme="1"/>
        <rFont val="Calibri"/>
        <family val="2"/>
        <scheme val="minor"/>
      </rPr>
      <t xml:space="preserve">Certificate Authority Lifecycle Automation
</t>
    </r>
    <r>
      <rPr>
        <sz val="12"/>
        <color theme="1"/>
        <rFont val="Calibri"/>
        <family val="2"/>
        <scheme val="minor"/>
      </rPr>
      <t xml:space="preserve">
A) Automated platform engines generate, distribute, monitor, and rotate internal certificates prior to expiration dates.
B) Certificate monitoring relies on calendar tracking tools, which occasionally leads to brief service outages.
C) Certificate renewal requires manual generation steps by infrastructure engineers when systems alert for failures.
D) Certificate tracking is completely missing, causing out-of-date or invalid configurations to persist across network nodes.</t>
    </r>
  </si>
  <si>
    <r>
      <rPr>
        <u/>
        <sz val="12"/>
        <color theme="1"/>
        <rFont val="Calibri"/>
        <family val="2"/>
        <scheme val="minor"/>
      </rPr>
      <t xml:space="preserve">Cryptographic Key Separation Matrix
</t>
    </r>
    <r>
      <rPr>
        <sz val="12"/>
        <color theme="1"/>
        <rFont val="Calibri"/>
        <family val="2"/>
        <scheme val="minor"/>
      </rPr>
      <t xml:space="preserve">
A) Key access parameters enforce a strict separation of duties; key administrators cannot decrypt target data.
B) Access is restricted to specific engineering groups, but keys lack granular, contextual resource-use constraints.
C) Generic developer roles possess full administrative and cryptographic use rights over master key rings.
D) Decryption keys use wide-open access policies, allowing any tenant user profile to view sensitive data.</t>
    </r>
  </si>
  <si>
    <t>Governance: Policies &amp; Security Awareness</t>
  </si>
  <si>
    <r>
      <rPr>
        <u/>
        <sz val="12"/>
        <color theme="1"/>
        <rFont val="Calibri"/>
        <family val="2"/>
        <scheme val="minor"/>
      </rPr>
      <t xml:space="preserve">Information Security Policy Maintenance
</t>
    </r>
    <r>
      <rPr>
        <sz val="12"/>
        <color theme="1"/>
        <rFont val="Calibri"/>
        <family val="2"/>
        <scheme val="minor"/>
      </rPr>
      <t xml:space="preserve">
A) Document repositories track policy versions automatically, forcing annual executive re-approvals and alignment flags.
B) Compliance profiles undergo manual corporate review sessions once a year, updating content to match regulations.
C) Security policies utilize standard stock boilerplate documentation frameworks that are rarely adjusted for company processes.
D) Formal information security policies are completely missing or have not been updated for multiple years.</t>
    </r>
  </si>
  <si>
    <r>
      <t xml:space="preserve">Personnel Security Awareness Training
</t>
    </r>
    <r>
      <rPr>
        <sz val="12"/>
        <color theme="1"/>
        <rFont val="Calibri"/>
        <family val="2"/>
        <scheme val="minor"/>
      </rPr>
      <t xml:space="preserve">
A) Automated compliance platforms manage employee training, tracking completions and blocking account access on completion delays.
B) Awareness training is mandatory during onboarding and runs annually, tracked via human resource management portals.
C) Education steps are handled via static slide documents that lack completion tracking mechanics or comprehension quizzes.
D) Team members receive zero structured cybersecurity awareness training, leaving compliance baselines unverified.</t>
    </r>
  </si>
  <si>
    <r>
      <t xml:space="preserve">Phishing Simulation Frequency
</t>
    </r>
    <r>
      <rPr>
        <sz val="12"/>
        <color theme="1"/>
        <rFont val="Calibri"/>
        <family val="2"/>
        <scheme val="minor"/>
      </rPr>
      <t>A) Automated simulation platforms send random adversarial phishing tests monthly, tracking failures for immediate training.
B) Phishing tests execute manually once or twice a year, producing aggregate readiness metrics for leadership.
C) Exercise scenarios are run only following major corporate restructuring events or post-incident reviews.
D) Corporate communication systems run without phishing testing exercises, keeping user risk levels unknown.</t>
    </r>
  </si>
  <si>
    <r>
      <t xml:space="preserve">Acceptable Use Policy Sign-Offs
</t>
    </r>
    <r>
      <rPr>
        <sz val="12"/>
        <color theme="1"/>
        <rFont val="Calibri"/>
        <family val="2"/>
        <scheme val="minor"/>
      </rPr>
      <t xml:space="preserve">
A) HR identity platforms force digital signatures on acceptable use terms before issuing computer profiles to new hires.
B) Personnel verify data use terms manually during annual performance reviews, tracked inside corporate file systems.
C) Compliance depends on policies listed on internal wiki pages without formal, verifiable individual sign-offs.
D) Acceptable data handling terms are completely undocumented, leaving user actions legally unmanaged.</t>
    </r>
  </si>
  <si>
    <r>
      <t xml:space="preserve">Executive Security Reporting Frequency
</t>
    </r>
    <r>
      <rPr>
        <sz val="12"/>
        <color theme="1"/>
        <rFont val="Calibri"/>
        <family val="2"/>
        <scheme val="minor"/>
      </rPr>
      <t xml:space="preserve">
A) Live posture metrics generate automated compliance reporting streams that update corporate leadership dashboards continuously.
B) Security teams deliver detailed threat landscape reports to executive boards quarterly using standardized slideshow presentations.
C) Posture data compiles reactively following external audit requests or when client compliance questions arrive.
D) Leadership boards receive zero structured security posture reporting, keeping visibility into risk exposures low.</t>
    </r>
  </si>
  <si>
    <t>Governance: Asset &amp; Inventory Tracking</t>
  </si>
  <si>
    <r>
      <t xml:space="preserve">Continuous Asset Discovery Mechanics
</t>
    </r>
    <r>
      <rPr>
        <sz val="12"/>
        <color theme="1"/>
        <rFont val="Calibri"/>
        <family val="2"/>
        <scheme val="minor"/>
      </rPr>
      <t>A) Automated active scanning and network listening tools discover and catalog hardware assets dynamically in real-time.
B) Discovery scripts scan networks daily, generating centralized inventory updates for infrastructure teams.
C) Inventory tracking depends on manual entries into a database when hardware onboarding occurs.
D) Assets are tracked using uncentralized spreadsheets, which are missing details on temporary network boxes.</t>
    </r>
  </si>
  <si>
    <r>
      <t xml:space="preserve">Software Application Whitelisting Control
</t>
    </r>
    <r>
      <rPr>
        <sz val="12"/>
        <color theme="1"/>
        <rFont val="Calibri"/>
        <family val="2"/>
        <scheme val="minor"/>
      </rPr>
      <t>A) Endpoint management configurations block unapproved application execution automatically at the host kernel tier.
B) Application controls restrict installations to verified enterprise marketplace channels via local user account limits.
C) Software tracking depends on checking manual inventory lists during periodic corporate device updates.
D) Users can install and execute any third-party software on endpoints without logging, verification, or blocks.</t>
    </r>
  </si>
  <si>
    <r>
      <t xml:space="preserve">Asset Classification Level Mapping
</t>
    </r>
    <r>
      <rPr>
        <sz val="12"/>
        <color theme="1"/>
        <rFont val="Calibri"/>
        <family val="2"/>
        <scheme val="minor"/>
      </rPr>
      <t>A) Unified identity tools link network file registries to a central classification database dynamically.
B) Inventory databases undergo manual verification updates every month by risk management teams.
C) Data records utilize localized spreadsheets that contain inconsistent formatting rules across departments.
D) Document tracking structures are missing, causing sensitive production data blocks to go unnoticed.</t>
    </r>
  </si>
  <si>
    <r>
      <t xml:space="preserve">Discarded Media Sanitization Tracking
</t>
    </r>
    <r>
      <rPr>
        <sz val="12"/>
        <color theme="1"/>
        <rFont val="Calibri"/>
        <family val="2"/>
        <scheme val="minor"/>
      </rPr>
      <t>A) Retiring storage volumes destroys corresponding keys automatically, generating unmodifiable cryptographic wipe records.
B) Media cleanup cycles follow standard disk overwriting steps, which are logged inside infrastructure spreadsheets.
C) Disk decommissioning relies on system deletion commands without verifying data block erasure.
D) Discarded hardware components are thrown out or repurposed without clearing internal data sectors.</t>
    </r>
  </si>
  <si>
    <r>
      <t xml:space="preserve">Mobile Device Management Coverage
</t>
    </r>
    <r>
      <rPr>
        <sz val="12"/>
        <color theme="1"/>
        <rFont val="Calibri"/>
        <family val="2"/>
        <scheme val="minor"/>
      </rPr>
      <t>A) Every endpoint (including remote and mobile hardware) must be registered in the MDM platform before accessing tools.
B) MDM profiles manage core corporate assets, but lack policy blocks or enforcement configurations for BYOD endpoints.
C) Enrollment is handled manually during onboarding, leaving temporary staff or contractor profiles unmanaged.
D) Device configurations lack central MDM profiles, relying entirely on users to handle local system safety.</t>
    </r>
  </si>
  <si>
    <t>Third-Party Risk: Vendor Oversight</t>
  </si>
  <si>
    <r>
      <t xml:space="preserve">Supplier Security Assessment Lifecycles
</t>
    </r>
    <r>
      <rPr>
        <sz val="12"/>
        <color theme="1"/>
        <rFont val="Calibri"/>
        <family val="2"/>
        <scheme val="minor"/>
      </rPr>
      <t>A) Automated assessment tools verify vendor SOC 2 or ISO certificates continuously, flagging compliance drops instantly.
B) Vendor security profiles undergo structured manual review sessions annually during contract renewal evaluation steps.
C) Onboarding reviews check external vendor references using basic questionnaires without demanding formal audit reports.
D) Third-party tools are added to corporate systems without security reviews, tracking, or access restrictions</t>
    </r>
  </si>
  <si>
    <r>
      <t xml:space="preserve">Vendor Access Privileges Minimization
</t>
    </r>
    <r>
      <rPr>
        <sz val="12"/>
        <color theme="1"/>
        <rFont val="Calibri"/>
        <family val="2"/>
        <scheme val="minor"/>
      </rPr>
      <t>A) Third-party connections use transient profiles with short-lived tokens that expire automatically within 1 hour.
B) Token connections utilize long-lived keys that undergo mandatory manual rotations every 90 days.
C) Access configurations depend on static credentials that are shared across internal development teams.
D) External service connections share wide administrative keys with zero verification constraints.</t>
    </r>
  </si>
  <si>
    <r>
      <t xml:space="preserve">Supplier Contract Security Clauses
</t>
    </r>
    <r>
      <rPr>
        <sz val="12"/>
        <color theme="1"/>
        <rFont val="Calibri"/>
        <family val="2"/>
        <scheme val="minor"/>
      </rPr>
      <t>A) Procurement policies mandate standardized legal templates requiring immediate 24-hour breach notices from vendors.
B) Contracts contain baseline data protection clauses, but lack specified incident notification windows or audit rights.
C) Security wording is adjusted during individual vendor negotiations, producing inconsistent legal protections.
D) Supplier contracts skip data processing reviews entirely, exposing corporate records to unmanaged legal liability.</t>
    </r>
  </si>
  <si>
    <r>
      <rPr>
        <u/>
        <sz val="12"/>
        <color theme="1"/>
        <rFont val="Calibri"/>
        <family val="2"/>
        <scheme val="minor"/>
      </rPr>
      <t xml:space="preserve">Offboarded Vendor Access Revocation Mechanics
</t>
    </r>
    <r>
      <rPr>
        <sz val="12"/>
        <color theme="1"/>
        <rFont val="Calibri"/>
        <family val="2"/>
        <scheme val="minor"/>
      </rPr>
      <t xml:space="preserve">
A) Terminating partner agreements triggers automated system workflows that delete corresponding keys and profiles instantly.
B) Security teams complete profile cleanup and connection drops manually within 48 hours of relationship sunsetting.
C) Vendor account cleanup happens during monthly sweeps, leaving old communication lines active for weeks.
D) Revocation procedures do not exist, keeping former supplier profiles active across corporate environments indefinitely.</t>
    </r>
  </si>
  <si>
    <r>
      <t xml:space="preserve">
Offboarded Vendor Access Revocation Mechanics
</t>
    </r>
    <r>
      <rPr>
        <sz val="12"/>
        <color theme="1"/>
        <rFont val="Calibri"/>
        <family val="2"/>
        <scheme val="minor"/>
      </rPr>
      <t>A) Terminating partner agreements triggers automated system workflows that delete corresponding keys and profiles instantly.
B) Security teams complete profile cleanup and connection drops manually within 48 hours of relationship sunsetting.
C)  Vendor account cleanup happens during monthly sweeps, leaving old communication lines active for weeks.
D) Revocation procedures do not exist, keeping former supplier profiles active across corporate environments indefinitely.</t>
    </r>
  </si>
  <si>
    <t>Privacy &amp; Confidentiality Controls</t>
  </si>
  <si>
    <r>
      <t xml:space="preserve">Data Subject Access Request Execution
</t>
    </r>
    <r>
      <rPr>
        <sz val="12"/>
        <color theme="1"/>
        <rFont val="Calibri"/>
        <family val="2"/>
        <scheme val="minor"/>
      </rPr>
      <t>A) Privacy orchestration platforms catalog, extract, or delete individual data profiles automatically upon verified requests.
B) Legal teams extract user metrics manually across datastores using structured execution workflows within 30 days.
C) Processing search steps follow loose playbook guidelines, often missing data buried in legacy storage files.
D) Systems lack data extraction tools, preventing response execution to legal user privacy queries.</t>
    </r>
  </si>
  <si>
    <r>
      <t xml:space="preserve">Privacy Policy Public Alignment
</t>
    </r>
    <r>
      <rPr>
        <sz val="12"/>
        <color theme="1"/>
        <rFont val="Calibri"/>
        <family val="2"/>
        <scheme val="minor"/>
      </rPr>
      <t xml:space="preserve">
A) Dynamic legal trackers audit public privacy statements continuously to match live code processing models automatically.
B) Legal groups review consumer-facing privacy language annually, updating text to align with regulatory variations.
C) Terms follow out-of-the-box regulatory text templates without checking internal data handling configurations.
D) Public privacy documentation is missing, exposing digital platform operations to immediate regulator sanctions.</t>
    </r>
  </si>
  <si>
    <r>
      <t xml:space="preserve">Data Minimization Retention Limits
</t>
    </r>
    <r>
      <rPr>
        <sz val="12"/>
        <color theme="1"/>
        <rFont val="Calibri"/>
        <family val="2"/>
        <scheme val="minor"/>
      </rPr>
      <t xml:space="preserve">
A) Automated pruning rules identify expired user histories, deleting target data blocks from databases daily.
B) Storage cleanup routines drop historical database entries manually every six months based on corporate policies.
C) Data remains stored indefinitely to support potential future business optimization or analytics tasks.
D) Production instances preserve all transaction metrics indefinitely without cleanup scripts or retention parameters.</t>
    </r>
  </si>
  <si>
    <r>
      <t xml:space="preserve">Non-Disclosure Agreement Signatures Tracking
</t>
    </r>
    <r>
      <rPr>
        <sz val="12"/>
        <color theme="1"/>
        <rFont val="Calibri"/>
        <family val="2"/>
        <scheme val="minor"/>
      </rPr>
      <t>A) Legal management engines enforce mandatory NDA signing loops programmatically before generating profile access credentials.
B) Personnel and external partners sign non-disclosure agreements during onboarding, tracked inside central HR folders.
C) Document tracking uses manual spreadsheets, which are rarely updated when personnel profiles switch operational roles.
D) Confidentiality parameters operate undocumented without signed legal forms, breaking corporate liability boundaries.</t>
    </r>
  </si>
  <si>
    <r>
      <t xml:space="preserve">Customer Data Processing Agreement Enforcement
</t>
    </r>
    <r>
      <rPr>
        <sz val="12"/>
        <color theme="1"/>
        <rFont val="Calibri"/>
        <family val="2"/>
        <scheme val="minor"/>
      </rPr>
      <t>A) Database routing engines isolate client records dynamically based on legal cross-border transfer limitations.
B) Cloud configurations map data regions manually during client setup phases, verified via internal change boards.
C) Data isolation depends on logical filters without structural partition boundaries between client database pools.
D) Client data processing skips regional tracking, mixing international records across unmonitored clusters.</t>
    </r>
  </si>
  <si>
    <t>Risk Management: Vulnerability Assessment</t>
  </si>
  <si>
    <r>
      <t xml:space="preserve">Network Infrastructure Scanning Cadence
</t>
    </r>
    <r>
      <rPr>
        <sz val="12"/>
        <color theme="1"/>
        <rFont val="Calibri"/>
        <family val="2"/>
        <scheme val="minor"/>
      </rPr>
      <t>A) Automated scanning frameworks perform full network discovery sweeps continuously across all asset environments.
B) Vulnerability scanners execute scheduled sweeps every 14 days, generating centralized compliance metrics.
C) Scanning engines execute only once or twice a year to meet basic checklist compliance audit goals.
D) Infrastructure spaces run without active scanner tracking, missing active patch gaps across the network.</t>
    </r>
  </si>
  <si>
    <r>
      <t xml:space="preserve">Scanned Network Boundary Depth
</t>
    </r>
    <r>
      <rPr>
        <sz val="12"/>
        <color theme="1"/>
        <rFont val="Calibri"/>
        <family val="2"/>
        <scheme val="minor"/>
      </rPr>
      <t>A) Scanning appliances use dedicated credentials to navigate internal segments and inspect firewalled nodes natively.
B) Scans assess targets through narrow firewall holes, which frequently triggers missing alert events.
C) Assessment tools inspect perimeter boxes only, leaving internal database zones unexamined.
D) Scanners are blocked from traversing internal segments, leaving severe blind spots across corporate zones.</t>
    </r>
  </si>
  <si>
    <r>
      <t xml:space="preserve">Scanning Engine Account Security
</t>
    </r>
    <r>
      <rPr>
        <sz val="12"/>
        <color theme="1"/>
        <rFont val="Calibri"/>
        <family val="2"/>
        <scheme val="minor"/>
      </rPr>
      <t>A) Discovery keys use vault storage and complete automated password rotations after every sweep cycle.
B) Scan engines store administrative profiles in encrypted configurations, but keys remain static.
C) Assessment accounts use simple passwords that are shared across multiple internal testing teams.
D) Cleartext scan credentials travel across network streams, where they can be intercepted and reused.</t>
    </r>
  </si>
  <si>
    <r>
      <t xml:space="preserve">Remediation Priority Scoring Metrics
</t>
    </r>
    <r>
      <rPr>
        <sz val="12"/>
        <color theme="1"/>
        <rFont val="Calibri"/>
        <family val="2"/>
        <scheme val="minor"/>
      </rPr>
      <t>A) Vulnerability risk evaluation combines threat intelligence with context to remediate exposed flaws first.
B) Remediation plans track standard CVSS scores, but skip analysis of local exploit paths.
C) Mitigation workflows patch issues slowly unless a vulnerability receives widespread media attention.
D) High-risk findings are ignored or deprioritized due to a false sense of security from low CVSS scores.</t>
    </r>
  </si>
  <si>
    <r>
      <t xml:space="preserve">Formal Penetration Testing Frequency
</t>
    </r>
    <r>
      <rPr>
        <sz val="12"/>
        <color theme="1"/>
        <rFont val="Calibri"/>
        <family val="2"/>
        <scheme val="minor"/>
      </rPr>
      <t>A) Certified external white-hat firms complete advanced threat simulation tests twice a year against target systems.
B) Penetration testing runs on a strict annual schedule, producing detailed remediation roadmaps for engineers.
C) Tests are scheduled reactively following major software rewrites or infrastructure additions.
D) Infrastructure operates without objective third-party penetration testing, leaving real exploit resiliencies unverified.</t>
    </r>
  </si>
  <si>
    <t>Data Protection: DLP &amp; Backup Retention</t>
  </si>
  <si>
    <r>
      <t xml:space="preserve">Data Loss Prevention Automated Intervention
</t>
    </r>
    <r>
      <rPr>
        <sz val="12"/>
        <color theme="1"/>
        <rFont val="Calibri"/>
        <family val="2"/>
        <scheme val="minor"/>
      </rPr>
      <t>A) Integrated DLP engines block data exfiltration routes automatically when sensitive file movement anomalies occur.
B) Network monitors log data transfer violations, but require engineering team analysis before dropping links.
C) DLP scanning runs on email traffic portals only, missing file transfers over web or chat channels.
D) Systems operate without file egress checks, allowing users to copy sensitive data blocks to external storage.</t>
    </r>
    <r>
      <rPr>
        <u/>
        <sz val="12"/>
        <color theme="1"/>
        <rFont val="Calibri"/>
        <family val="2"/>
        <scheme val="minor"/>
      </rPr>
      <t>)</t>
    </r>
  </si>
  <si>
    <r>
      <t xml:space="preserve">Backup Snapshot Isolation Architecture
</t>
    </r>
    <r>
      <rPr>
        <sz val="12"/>
        <color theme="1"/>
        <rFont val="Calibri"/>
        <family val="2"/>
        <scheme val="minor"/>
      </rPr>
      <t xml:space="preserve">
A) Core data backups reside inside air-gapped, isolated accounts with immutable locks that prevent tampering.
B) Backup files update regularly on separated storage arrays, but lack strict structural isolation from main accounts.
C) Data protection uses local snapshots inside the same operational zone, which are vulnerable to an admin compromise.
D) Backup routines are completely missing, exposing the organization to catastrophic unrecoverable data loss.</t>
    </r>
  </si>
  <si>
    <r>
      <t xml:space="preserve">Backup Replication Geographic Distribution
</t>
    </r>
    <r>
      <rPr>
        <sz val="12"/>
        <color theme="1"/>
        <rFont val="Calibri"/>
        <family val="2"/>
        <scheme val="minor"/>
      </rPr>
      <t xml:space="preserve">
A)  Replication systems move backup files across completely different cloud provider geographic regions and accounts automatically.
B) Data duplicates to alternative logical areas within the same main region, leaving it exposed to regional outages.
C) Backups require manual execution by engineers to export datasets to secondary locations.
D) Production instances keep snapshot data local to the host compute disk, with zero external distribution.</t>
    </r>
  </si>
  <si>
    <r>
      <t xml:space="preserve">Backup Key Destruction Safeguards
</t>
    </r>
    <r>
      <rPr>
        <sz val="12"/>
        <color theme="1"/>
        <rFont val="Calibri"/>
        <family val="2"/>
        <scheme val="minor"/>
      </rPr>
      <t>A) Deleting backup keys requires multi-signature validation from separate operations teams outside the main cloud admin group.
B) Key cancellation triggers a 14-day hold window, but any primary cloud account administrator can override the pause.
C) Deleting keys follows standard asset retirement checklists, but lack technical multi-factor safety delays.
D) Any standard system admin profile can delete core encryption keys instantly, causing permanent data loss</t>
    </r>
  </si>
  <si>
    <r>
      <t xml:space="preserve">Storage Export Interface Authorization
</t>
    </r>
    <r>
      <rPr>
        <sz val="12"/>
        <color theme="1"/>
        <rFont val="Calibri"/>
        <family val="2"/>
        <scheme val="minor"/>
      </rPr>
      <t>A) Data extraction tools verify user authorization records dynamically before allowing database file conversions.
B) File conversions require admin credentials, but lack continuous monitoring to catch configuration changes.
C) Exfiltration tracking focuses on standard office files, skipping verification of specialized model binary formats.
D) Storage directories use generic open access profiles, allowing any connected login to view internal records.</t>
    </r>
  </si>
  <si>
    <t>Availability: Disaster Recovery Resilience</t>
  </si>
  <si>
    <r>
      <t xml:space="preserve">Disaster Recovery Automated Orchestration
</t>
    </r>
    <r>
      <rPr>
        <sz val="12"/>
        <color theme="1"/>
        <rFont val="Calibri"/>
        <family val="2"/>
        <scheme val="minor"/>
      </rPr>
      <t>A) Fully automated orchestration frameworks spin up and validate recovery architectures across separate regions instantly.
B) Environment replication supports multi-zone failovers, but executing structural recoveries requires manual engineering configurations.
C) System recovery requires manual database re-building and route modifications during active business drops.
D) Infrastructure lacks automated failover routing, requiring full manual construction if systems crash.</t>
    </r>
  </si>
  <si>
    <r>
      <t xml:space="preserve">Business Continuity Testing Frequency
</t>
    </r>
    <r>
      <rPr>
        <sz val="12"/>
        <color theme="1"/>
        <rFont val="Calibri"/>
        <family val="2"/>
        <scheme val="minor"/>
      </rPr>
      <t>A) Fully automated chaos simulation frameworks spin up and validate recovery architectures every week.
B) Technical groups perform structured manual disaster recovery walk-throughs twice a year against target baselines.
C) Disaster response validation happens reactively after major software failures or version breaks occur.
D) Systems have never run business recovery testing procedures, leaving documentation unverified.</t>
    </r>
  </si>
  <si>
    <r>
      <t xml:space="preserve">Recovery Point Objective (RPO) Compliance
</t>
    </r>
    <r>
      <rPr>
        <sz val="12"/>
        <color theme="1"/>
        <rFont val="Calibri"/>
        <family val="2"/>
        <scheme val="minor"/>
      </rPr>
      <t>A) Data replication tools maintain real-time sync metrics, keeping potential data loss exposure under 15 minutes.
B) Synchronization jobs execute on automated 12-hour schedules, accepting half-day data validation gaps.
C) System captures run on a weekly cycle, running severe risks of significant transaction info drops.
D) Recovery intervals are completely variable and untracked due to the lack of formal baseline parameters.</t>
    </r>
  </si>
  <si>
    <r>
      <t xml:space="preserve">Alternative Power/Network Redundancies
</t>
    </r>
    <r>
      <rPr>
        <sz val="12"/>
        <color theme="1"/>
        <rFont val="Calibri"/>
        <family val="2"/>
        <scheme val="minor"/>
      </rPr>
      <t xml:space="preserve">
A) Infrastructure maps to multiple non-adjacent utility zones that possess independent alternative backup operations.
B) Hardware facilities utilize central engine rooms, but alternate utility route modifications require manual activation.
C) Operational endpoints rely on singular connections without alternate backup options.
D) Main system paths run without structural hardware backups, leaving setups exposed to localized outages.</t>
    </r>
  </si>
  <si>
    <r>
      <t xml:space="preserve">Critical Infrastructure Status Tracking
</t>
    </r>
    <r>
      <rPr>
        <sz val="12"/>
        <color theme="1"/>
        <rFont val="Calibri"/>
        <family val="2"/>
        <scheme val="minor"/>
      </rPr>
      <t>A) Status tracking platforms update operational metrics continuously, sending alert flags to public dashboards instantly.
B) Performance monitors log system drops, but tracking dashboard visibility is restricted to internal engineering teams.
C) System status indicators are verified manually by engineers when processing lines experience delays.
D) Infrastructure tracking indicators are absent, keeping team visibility into live system availability low.</t>
    </r>
  </si>
  <si>
    <t>States</t>
  </si>
  <si>
    <t>Definitions</t>
  </si>
  <si>
    <t>Operational Impact</t>
  </si>
  <si>
    <t>Controls are fully designed, operating effectively, completely documented, and consistently executed across the entire organization.</t>
  </si>
  <si>
    <t>Ensures an unqualified (clean) opinion with zero exceptions or non-conformities, maximizing customer trust and accelerating sales cycles.</t>
  </si>
  <si>
    <r>
      <t xml:space="preserve">🛡️ State 1: High Audit Readiness (Clean Report Forecast (Score: 0% – 40%)
</t>
    </r>
    <r>
      <rPr>
        <u/>
        <sz val="10"/>
        <color theme="1"/>
        <rFont val="Arial"/>
        <family val="2"/>
      </rPr>
      <t xml:space="preserve">
</t>
    </r>
  </si>
  <si>
    <t>Core security controls are functional, but minor gaps exist in documentation, sample testing consistency, or administrative log reviews.</t>
  </si>
  <si>
    <t>Results in a qualified report containing minor, non-critical exceptions or minor non-conformities that require swift post-audit remediation.</t>
  </si>
  <si>
    <r>
      <t xml:space="preserve">⚠️ State 2: Moderate Readiness (Minor Exceptions Likely) (Score: 41% – 60%)
</t>
    </r>
    <r>
      <rPr>
        <sz val="10"/>
        <color theme="1"/>
        <rFont val="Arial"/>
        <family val="2"/>
      </rPr>
      <t xml:space="preserve">
</t>
    </r>
  </si>
  <si>
    <t>Key security controls are missing, poorly designed, or suffer from widespread execution failures across critical trust service criteria or clauses.</t>
  </si>
  <si>
    <t>Triggers an adverse opinion, a disclaimer of opinion, or major non-conformities, halting enterprise deals and damaging market reputation.</t>
  </si>
  <si>
    <t xml:space="preserve">🚨 State 3: Low Readiness (Audit Failure / Non-Conformity Risk) (Score: 61% – 80%)
</t>
  </si>
  <si>
    <t>The organization lacks a formalized security framework, defined control activities, and objective evidence required to support an audit.</t>
  </si>
  <si>
    <t>Guarantees immediate audit failure, severe legal or contractual non-compliance risks, and an inability to clear vendor security assessments.</t>
  </si>
  <si>
    <r>
      <rPr>
        <b/>
        <sz val="10"/>
        <color theme="1"/>
        <rFont val="Arial"/>
        <family val="2"/>
      </rPr>
      <t xml:space="preserve">☠️ State 4: Unprepared (Widespread Exceptions Guaranteed) (Score: 81% – 100%)
</t>
    </r>
    <r>
      <rPr>
        <b/>
        <u/>
        <sz val="10"/>
        <color theme="1"/>
        <rFont val="Arial"/>
        <family val="2"/>
      </rPr>
      <t xml:space="preserve">
</t>
    </r>
    <r>
      <rPr>
        <u/>
        <sz val="10"/>
        <color theme="1"/>
        <rFont val="Arial"/>
        <family val="2"/>
      </rPr>
      <t xml:space="preserve">
</t>
    </r>
  </si>
  <si>
    <t>Security Assessment State</t>
  </si>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</sst>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Calibri"/>
      <family val="2"/>
      <scheme val="minor"/>
    </font>
    <font>
      <sz val="14"/>
      <color theme="1"/>
      <name val="Calibri"/>
      <family val="2"/>
      <scheme val="minor"/>
    </font>
    <font>
      <sz val="10"/>
      <color theme="1"/>
      <name val="Arial"/>
      <family val="2"/>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u/>
      <sz val="10"/>
      <color theme="1"/>
      <name val="Arial"/>
      <family val="2"/>
    </font>
    <font>
      <b/>
      <u/>
      <sz val="10"/>
      <color theme="1"/>
      <name val="Arial"/>
      <family val="2"/>
    </font>
    <font>
      <b/>
      <sz val="12"/>
      <color theme="1"/>
      <name val="Calibri"/>
      <family val="2"/>
      <scheme val="minor"/>
    </font>
  </fonts>
  <fills count="3">
    <fill>
      <patternFill patternType="none"/>
    </fill>
    <fill>
      <patternFill patternType="gray125"/>
    </fill>
    <fill>
      <patternFill patternType="solid">
        <fgColor theme="1" tint="0.499984740745262"/>
        <bgColor theme="1"/>
      </patternFill>
    </fill>
  </fills>
  <borders count="3">
    <border>
      <left/>
      <right/>
      <top/>
      <bottom/>
      <diagonal/>
    </border>
    <border>
      <left/>
      <right/>
      <top/>
      <bottom style="medium">
        <color rgb="FFDCDFE5"/>
      </bottom>
      <diagonal/>
    </border>
    <border>
      <left style="thin">
        <color theme="8"/>
      </left>
      <right style="thin">
        <color theme="8"/>
      </right>
      <top/>
      <bottom style="medium">
        <color theme="8"/>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5" fillId="0" borderId="0" xfId="0" applyFont="1" applyAlignment="1">
      <alignment horizontal="left" vertical="center" wrapText="1"/>
    </xf>
    <xf numFmtId="0" fontId="2" fillId="0" borderId="0" xfId="0" applyFont="1" applyAlignment="1">
      <alignment vertical="center" wrapText="1"/>
    </xf>
    <xf numFmtId="0" fontId="6" fillId="0" borderId="0" xfId="0" applyFont="1" applyAlignment="1">
      <alignment wrapText="1"/>
    </xf>
    <xf numFmtId="0" fontId="2" fillId="0" borderId="0" xfId="0" applyFont="1"/>
    <xf numFmtId="0" fontId="5" fillId="0" borderId="0" xfId="0" applyFont="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xf numFmtId="0" fontId="7" fillId="0" borderId="0" xfId="0" applyFont="1"/>
    <xf numFmtId="2" fontId="0" fillId="0" borderId="0" xfId="0" applyNumberFormat="1"/>
    <xf numFmtId="0" fontId="0" fillId="0" borderId="0" xfId="0" pivotButton="1"/>
    <xf numFmtId="0" fontId="0" fillId="0" borderId="0" xfId="0" applyAlignment="1">
      <alignment horizontal="left"/>
    </xf>
    <xf numFmtId="1" fontId="2" fillId="0" borderId="0" xfId="0" applyNumberFormat="1" applyFont="1"/>
    <xf numFmtId="0" fontId="5" fillId="0" borderId="0" xfId="0" applyFont="1" applyAlignment="1">
      <alignment vertical="top" wrapText="1"/>
    </xf>
    <xf numFmtId="0" fontId="4" fillId="0" borderId="0" xfId="0" applyFont="1" applyAlignment="1">
      <alignment horizontal="left" wrapText="1"/>
    </xf>
    <xf numFmtId="0" fontId="5" fillId="0" borderId="0" xfId="0" applyFont="1" applyAlignment="1">
      <alignment horizontal="left" wrapText="1"/>
    </xf>
    <xf numFmtId="0" fontId="3" fillId="0" borderId="0" xfId="0" applyFont="1" applyAlignment="1">
      <alignment horizontal="left" vertical="center" wrapText="1"/>
    </xf>
    <xf numFmtId="0" fontId="7" fillId="2" borderId="2" xfId="0" applyFont="1" applyFill="1" applyBorder="1"/>
    <xf numFmtId="2" fontId="0" fillId="0" borderId="0" xfId="0" applyNumberFormat="1" applyAlignment="1" applyProtection="1">
      <alignment wrapText="1"/>
      <protection hidden="1"/>
    </xf>
    <xf numFmtId="2" fontId="2" fillId="0" borderId="0" xfId="0" applyNumberFormat="1" applyFont="1" applyAlignment="1" applyProtection="1">
      <alignment vertical="top" wrapText="1"/>
      <protection hidden="1"/>
    </xf>
    <xf numFmtId="2" fontId="2" fillId="0" borderId="0" xfId="0" applyNumberFormat="1" applyFont="1" applyProtection="1">
      <protection hidden="1"/>
    </xf>
    <xf numFmtId="0" fontId="0" fillId="0" borderId="0" xfId="0" applyAlignment="1" applyProtection="1">
      <alignment wrapText="1"/>
      <protection locked="0"/>
    </xf>
    <xf numFmtId="10" fontId="2" fillId="0" borderId="0" xfId="0" applyNumberFormat="1" applyFont="1" applyProtection="1">
      <protection hidden="1"/>
    </xf>
    <xf numFmtId="0" fontId="2" fillId="0" borderId="0" xfId="0" applyFont="1" applyAlignment="1" applyProtection="1">
      <alignment wrapText="1"/>
      <protection hidden="1"/>
    </xf>
    <xf numFmtId="0" fontId="11" fillId="0" borderId="0" xfId="0" applyFont="1"/>
  </cellXfs>
  <cellStyles count="1">
    <cellStyle name="Normal" xfId="0" builtinId="0"/>
  </cellStyles>
  <dxfs count="11">
    <dxf>
      <alignment horizontal="general" vertical="bottom" textRotation="0" wrapText="1" indent="0" justifyLastLine="0" shrinkToFit="0" readingOrder="0"/>
      <protection locked="0" hidden="0"/>
    </dxf>
    <dxf>
      <numFmt numFmtId="2" formatCode="0.00"/>
      <alignment horizontal="general" vertical="bottom" textRotation="0" wrapText="1" indent="0" justifyLastLine="0" shrinkToFit="0" readingOrder="0"/>
      <protection locked="1" hidden="1"/>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border outline="0">
        <top style="thin">
          <color theme="8"/>
        </top>
      </border>
    </dxf>
    <dxf>
      <border outline="0">
        <bottom style="medium">
          <color theme="8"/>
        </bottom>
      </border>
    </dxf>
    <dxf>
      <font>
        <b/>
        <i val="0"/>
        <strike val="0"/>
        <condense val="0"/>
        <extend val="0"/>
        <outline val="0"/>
        <shadow val="0"/>
        <u val="none"/>
        <vertAlign val="baseline"/>
        <sz val="14"/>
        <color theme="1"/>
        <name val="Calibri"/>
        <family val="2"/>
        <scheme val="minor"/>
      </font>
      <fill>
        <patternFill patternType="solid">
          <fgColor theme="1"/>
          <bgColor theme="1" tint="0.499984740745262"/>
        </patternFill>
      </fill>
      <border diagonalUp="0" diagonalDown="0">
        <left style="thin">
          <color theme="8"/>
        </left>
        <right style="thin">
          <color theme="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[ISO_27001_Security_Assess.xlsx]Results!PivotTable2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Results!$C$23</c:f>
              <c:strCache>
                <c:ptCount val="1"/>
                <c:pt idx="0">
                  <c:v>Sum of Weight Multipliers</c:v>
                </c:pt>
              </c:strCache>
            </c:strRef>
          </c:tx>
          <c:spPr>
            <a:solidFill>
              <a:schemeClr val="accent1"/>
            </a:solidFill>
            <a:ln>
              <a:noFill/>
            </a:ln>
            <a:effectLst/>
          </c:spPr>
          <c:invertIfNegative val="0"/>
          <c:cat>
            <c:strRef>
              <c:f>Results!$B$24:$B$38</c:f>
              <c:strCache>
                <c:ptCount val="14"/>
                <c:pt idx="0">
                  <c:v>Access Control: Identity Verification</c:v>
                </c:pt>
                <c:pt idx="1">
                  <c:v>Access Control: Privileged Access</c:v>
                </c:pt>
                <c:pt idx="2">
                  <c:v>Availability: Disaster Recovery Resilience</c:v>
                </c:pt>
                <c:pt idx="3">
                  <c:v>Change Management: Software Delivery</c:v>
                </c:pt>
                <c:pt idx="4">
                  <c:v>Data Protection: DLP &amp; Backup Retention</c:v>
                </c:pt>
                <c:pt idx="5">
                  <c:v>Encryption: Data Rest &amp; Transit Lifecycle</c:v>
                </c:pt>
                <c:pt idx="6">
                  <c:v>Governance: Asset &amp; Inventory Tracking</c:v>
                </c:pt>
                <c:pt idx="7">
                  <c:v>Governance: Policies &amp; Security Awareness</c:v>
                </c:pt>
                <c:pt idx="8">
                  <c:v>Network Security: Perimeter &amp; Segmentation</c:v>
                </c:pt>
                <c:pt idx="9">
                  <c:v>Operations: Endpoint Protection &amp; Hygiene</c:v>
                </c:pt>
                <c:pt idx="10">
                  <c:v>Privacy &amp; Confidentiality Controls</c:v>
                </c:pt>
                <c:pt idx="11">
                  <c:v>Risk Management: Vulnerability Assessment</c:v>
                </c:pt>
                <c:pt idx="12">
                  <c:v>System Monitoring: Logging &amp; SIEM</c:v>
                </c:pt>
                <c:pt idx="13">
                  <c:v>Third-Party Risk: Vendor Oversight</c:v>
                </c:pt>
              </c:strCache>
            </c:strRef>
          </c:cat>
          <c:val>
            <c:numRef>
              <c:f>Results!$C$24:$C$38</c:f>
              <c:numCache>
                <c:formatCode>0</c:formatCode>
                <c:ptCount val="14"/>
                <c:pt idx="0">
                  <c:v>3</c:v>
                </c:pt>
                <c:pt idx="1">
                  <c:v>3</c:v>
                </c:pt>
                <c:pt idx="2">
                  <c:v>2</c:v>
                </c:pt>
                <c:pt idx="3">
                  <c:v>2</c:v>
                </c:pt>
                <c:pt idx="4">
                  <c:v>2</c:v>
                </c:pt>
                <c:pt idx="5">
                  <c:v>2</c:v>
                </c:pt>
                <c:pt idx="6">
                  <c:v>1</c:v>
                </c:pt>
                <c:pt idx="7">
                  <c:v>1</c:v>
                </c:pt>
                <c:pt idx="8">
                  <c:v>2</c:v>
                </c:pt>
                <c:pt idx="9">
                  <c:v>3</c:v>
                </c:pt>
                <c:pt idx="10">
                  <c:v>1</c:v>
                </c:pt>
                <c:pt idx="11">
                  <c:v>3</c:v>
                </c:pt>
                <c:pt idx="12">
                  <c:v>3</c:v>
                </c:pt>
                <c:pt idx="13">
                  <c:v>1</c:v>
                </c:pt>
              </c:numCache>
            </c:numRef>
          </c:val>
          <c:extLst>
            <c:ext xmlns:c16="http://schemas.microsoft.com/office/drawing/2014/chart" uri="{C3380CC4-5D6E-409C-BE32-E72D297353CC}">
              <c16:uniqueId val="{00000000-3C77-4476-BE47-CA16342CC62A}"/>
            </c:ext>
          </c:extLst>
        </c:ser>
        <c:ser>
          <c:idx val="1"/>
          <c:order val="1"/>
          <c:tx>
            <c:strRef>
              <c:f>Results!$D$23</c:f>
              <c:strCache>
                <c:ptCount val="1"/>
                <c:pt idx="0">
                  <c:v>Sum of Weighted Scores</c:v>
                </c:pt>
              </c:strCache>
            </c:strRef>
          </c:tx>
          <c:spPr>
            <a:solidFill>
              <a:schemeClr val="accent2"/>
            </a:solidFill>
            <a:ln>
              <a:noFill/>
            </a:ln>
            <a:effectLst/>
          </c:spPr>
          <c:invertIfNegative val="0"/>
          <c:cat>
            <c:strRef>
              <c:f>Results!$B$24:$B$38</c:f>
              <c:strCache>
                <c:ptCount val="14"/>
                <c:pt idx="0">
                  <c:v>Access Control: Identity Verification</c:v>
                </c:pt>
                <c:pt idx="1">
                  <c:v>Access Control: Privileged Access</c:v>
                </c:pt>
                <c:pt idx="2">
                  <c:v>Availability: Disaster Recovery Resilience</c:v>
                </c:pt>
                <c:pt idx="3">
                  <c:v>Change Management: Software Delivery</c:v>
                </c:pt>
                <c:pt idx="4">
                  <c:v>Data Protection: DLP &amp; Backup Retention</c:v>
                </c:pt>
                <c:pt idx="5">
                  <c:v>Encryption: Data Rest &amp; Transit Lifecycle</c:v>
                </c:pt>
                <c:pt idx="6">
                  <c:v>Governance: Asset &amp; Inventory Tracking</c:v>
                </c:pt>
                <c:pt idx="7">
                  <c:v>Governance: Policies &amp; Security Awareness</c:v>
                </c:pt>
                <c:pt idx="8">
                  <c:v>Network Security: Perimeter &amp; Segmentation</c:v>
                </c:pt>
                <c:pt idx="9">
                  <c:v>Operations: Endpoint Protection &amp; Hygiene</c:v>
                </c:pt>
                <c:pt idx="10">
                  <c:v>Privacy &amp; Confidentiality Controls</c:v>
                </c:pt>
                <c:pt idx="11">
                  <c:v>Risk Management: Vulnerability Assessment</c:v>
                </c:pt>
                <c:pt idx="12">
                  <c:v>System Monitoring: Logging &amp; SIEM</c:v>
                </c:pt>
                <c:pt idx="13">
                  <c:v>Third-Party Risk: Vendor Oversight</c:v>
                </c:pt>
              </c:strCache>
            </c:strRef>
          </c:cat>
          <c:val>
            <c:numRef>
              <c:f>Results!$D$24:$D$38</c:f>
              <c:numCache>
                <c:formatCode>0.00</c:formatCode>
                <c:ptCount val="14"/>
                <c:pt idx="0">
                  <c:v>2.0999999999999996</c:v>
                </c:pt>
                <c:pt idx="1">
                  <c:v>1.6500000000000001</c:v>
                </c:pt>
                <c:pt idx="2">
                  <c:v>1.2</c:v>
                </c:pt>
                <c:pt idx="3">
                  <c:v>0.9</c:v>
                </c:pt>
                <c:pt idx="4">
                  <c:v>1.2</c:v>
                </c:pt>
                <c:pt idx="5">
                  <c:v>1.1000000000000001</c:v>
                </c:pt>
                <c:pt idx="6">
                  <c:v>0.8</c:v>
                </c:pt>
                <c:pt idx="7">
                  <c:v>0.7</c:v>
                </c:pt>
                <c:pt idx="8">
                  <c:v>1.1000000000000001</c:v>
                </c:pt>
                <c:pt idx="9">
                  <c:v>2.0999999999999996</c:v>
                </c:pt>
                <c:pt idx="10">
                  <c:v>0.7</c:v>
                </c:pt>
                <c:pt idx="11">
                  <c:v>2.4000000000000004</c:v>
                </c:pt>
                <c:pt idx="12">
                  <c:v>2.4000000000000004</c:v>
                </c:pt>
                <c:pt idx="13">
                  <c:v>0.45</c:v>
                </c:pt>
              </c:numCache>
            </c:numRef>
          </c:val>
          <c:extLst>
            <c:ext xmlns:c16="http://schemas.microsoft.com/office/drawing/2014/chart" uri="{C3380CC4-5D6E-409C-BE32-E72D297353CC}">
              <c16:uniqueId val="{00000002-3C77-4476-BE47-CA16342CC62A}"/>
            </c:ext>
          </c:extLst>
        </c:ser>
        <c:dLbls>
          <c:showLegendKey val="0"/>
          <c:showVal val="0"/>
          <c:showCatName val="0"/>
          <c:showSerName val="0"/>
          <c:showPercent val="0"/>
          <c:showBubbleSize val="0"/>
        </c:dLbls>
        <c:gapWidth val="219"/>
        <c:overlap val="-27"/>
        <c:axId val="2049961679"/>
        <c:axId val="2010071471"/>
      </c:barChart>
      <c:catAx>
        <c:axId val="20499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71471"/>
        <c:crosses val="autoZero"/>
        <c:auto val="1"/>
        <c:lblAlgn val="ctr"/>
        <c:lblOffset val="100"/>
        <c:noMultiLvlLbl val="0"/>
      </c:catAx>
      <c:valAx>
        <c:axId val="201007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6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365760</xdr:colOff>
      <xdr:row>22</xdr:row>
      <xdr:rowOff>3810</xdr:rowOff>
    </xdr:from>
    <xdr:to>
      <xdr:col>0</xdr:col>
      <xdr:colOff>4770120</xdr:colOff>
      <xdr:row>37</xdr:row>
      <xdr:rowOff>3810</xdr:rowOff>
    </xdr:to>
    <xdr:graphicFrame macro="">
      <xdr:nvGraphicFramePr>
        <xdr:cNvPr id="4" name="Chart 3">
          <a:extLst>
            <a:ext uri="{FF2B5EF4-FFF2-40B4-BE49-F238E27FC236}">
              <a16:creationId xmlns:a16="http://schemas.microsoft.com/office/drawing/2014/main" id="{CD3C33F5-AAE6-0F0C-F43F-2C845CDD0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7.738368171296" createdVersion="8" refreshedVersion="8" minRefreshableVersion="3" recordCount="14" xr:uid="{08B09E3E-D6DB-42B5-899B-5A542068B28C}">
  <cacheSource type="worksheet">
    <worksheetSource ref="A1:D15" sheet="Results"/>
  </cacheSource>
  <cacheFields count="4">
    <cacheField name="Category" numFmtId="0">
      <sharedItems count="14">
        <s v="Access Control: Identity Verification"/>
        <s v="Access Control: Privileged Access"/>
        <s v="Operations: Endpoint Protection &amp; Hygiene"/>
        <s v="System Monitoring: Logging &amp; SIEM"/>
        <s v="Change Management: Software Delivery"/>
        <s v="Network Security: Perimeter &amp; Segmentation"/>
        <s v="Encryption: Data Rest &amp; Transit Lifecycle"/>
        <s v="Governance: Policies &amp; Security Awareness"/>
        <s v="Governance: Asset &amp; Inventory Tracking"/>
        <s v="Third-Party Risk: Vendor Oversight"/>
        <s v="Privacy &amp; Confidentiality Controls"/>
        <s v="Risk Management: Vulnerability Assessment"/>
        <s v="Data Protection: DLP &amp; Backup Retention"/>
        <s v="Availability: Disaster Recovery Resilience"/>
      </sharedItems>
    </cacheField>
    <cacheField name="Category Score Formula" numFmtId="2">
      <sharedItems containsSemiMixedTypes="0" containsString="0" containsNumber="1" minValue="0.45" maxValue="0.8"/>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45" maxValue="2.4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0.7"/>
    <n v="3"/>
    <n v="2.0999999999999996"/>
  </r>
  <r>
    <x v="1"/>
    <n v="0.55000000000000004"/>
    <n v="3"/>
    <n v="1.6500000000000001"/>
  </r>
  <r>
    <x v="2"/>
    <n v="0.7"/>
    <n v="3"/>
    <n v="2.0999999999999996"/>
  </r>
  <r>
    <x v="3"/>
    <n v="0.8"/>
    <n v="3"/>
    <n v="2.4000000000000004"/>
  </r>
  <r>
    <x v="4"/>
    <n v="0.45"/>
    <n v="2"/>
    <n v="0.9"/>
  </r>
  <r>
    <x v="5"/>
    <n v="0.55000000000000004"/>
    <n v="2"/>
    <n v="1.1000000000000001"/>
  </r>
  <r>
    <x v="6"/>
    <n v="0.55000000000000004"/>
    <n v="2"/>
    <n v="1.1000000000000001"/>
  </r>
  <r>
    <x v="7"/>
    <n v="0.7"/>
    <n v="1"/>
    <n v="0.7"/>
  </r>
  <r>
    <x v="8"/>
    <n v="0.8"/>
    <n v="1"/>
    <n v="0.8"/>
  </r>
  <r>
    <x v="9"/>
    <n v="0.45"/>
    <n v="1"/>
    <n v="0.45"/>
  </r>
  <r>
    <x v="10"/>
    <n v="0.7"/>
    <n v="1"/>
    <n v="0.7"/>
  </r>
  <r>
    <x v="11"/>
    <n v="0.8"/>
    <n v="3"/>
    <n v="2.4000000000000004"/>
  </r>
  <r>
    <x v="12"/>
    <n v="0.6"/>
    <n v="2"/>
    <n v="1.2"/>
  </r>
  <r>
    <x v="13"/>
    <n v="0.6"/>
    <n v="2"/>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8D045E-A2DB-4FA1-BC59-08564DFFEF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3:D38" firstHeaderRow="0" firstDataRow="1" firstDataCol="1"/>
  <pivotFields count="4">
    <pivotField axis="axisRow" showAll="0">
      <items count="15">
        <item x="0"/>
        <item x="1"/>
        <item x="13"/>
        <item x="4"/>
        <item x="12"/>
        <item x="6"/>
        <item x="8"/>
        <item x="7"/>
        <item x="5"/>
        <item x="2"/>
        <item x="10"/>
        <item x="11"/>
        <item x="3"/>
        <item x="9"/>
        <item t="default"/>
      </items>
    </pivotField>
    <pivotField numFmtId="2" showAll="0"/>
    <pivotField dataField="1" numFmtId="1" showAll="0"/>
    <pivotField dataField="1" numFmtId="2" showAl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Weight Multipliers" fld="2" baseField="0" baseItem="0" numFmtId="1"/>
    <dataField name="Sum of Weighted Scores" fld="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3E7247-BCFC-4015-986D-687DB3B658AD}" name="Table1" displayName="Table1" ref="A1:D76" totalsRowShown="0" headerRowDxfId="5" headerRowBorderDxfId="4">
  <autoFilter ref="A1:D76" xr:uid="{E73E7247-BCFC-4015-986D-687DB3B658AD}"/>
  <tableColumns count="4">
    <tableColumn id="1" xr3:uid="{4040D9CC-679B-4FB9-95A0-A62DC347ACB8}" name="Category" dataDxfId="3"/>
    <tableColumn id="2" xr3:uid="{97669469-615B-4885-AA0A-9DEFB223083F}" name="Client-Specific Question" dataDxfId="2"/>
    <tableColumn id="3" xr3:uid="{1249DB9C-8244-4777-AB25-41AD08B48F14}" name="User Priority" dataDxfId="0"/>
    <tableColumn id="4" xr3:uid="{20D94323-F57F-4A2B-A9AC-BD5E52F0997A}" name="User Score" dataDxfId="1">
      <calculatedColumnFormula array="1">_xlfn.SWITCH(C2,"A", 0.25,"B", 0.5, "C", 0.75,"D", 1)</calculatedColumnFormula>
    </tableColumn>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3A8944-DB59-4C0D-8EDE-2A8B2C231138}" name="Table2" displayName="Table2" ref="A1:D21" totalsRowShown="0">
  <autoFilter ref="A1:D21" xr:uid="{5E3A8944-DB59-4C0D-8EDE-2A8B2C231138}"/>
  <tableColumns count="4">
    <tableColumn id="1" xr3:uid="{9BDA13DC-C89F-4AA7-BE7B-5730ECC8BAB3}" name="Category"/>
    <tableColumn id="2" xr3:uid="{8E9D0DA2-E3F7-4857-A8D3-50BD5E22D233}" name="Category Score Formula"/>
    <tableColumn id="3" xr3:uid="{4A3FE9A5-DF88-402C-8809-E0B6B4505E66}" name="Weight Multipliers"/>
    <tableColumn id="4" xr3:uid="{AE9EE0D2-4B80-4936-8BD8-BD7BB14F78E9}" name="Weighted Score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32D738-18CD-454A-B682-480D9C362FF3}" name="Table3" displayName="Table3" ref="A1:C5" totalsRowShown="0" headerRowDxfId="10" headerRowBorderDxfId="9" tableBorderDxfId="8">
  <autoFilter ref="A1:C5" xr:uid="{E732D738-18CD-454A-B682-480D9C362FF3}"/>
  <tableColumns count="3">
    <tableColumn id="1" xr3:uid="{6C99AD2D-6C3E-4777-9C93-769BB389F17B}" name="States"/>
    <tableColumn id="2" xr3:uid="{99472FA6-7E3F-4662-9A23-747AF2E8E183}" name="Definitions" dataDxfId="7"/>
    <tableColumn id="3" xr3:uid="{271029AC-1612-4193-95C8-4170F042EB18}" name="Operational Impact" dataDxfId="6"/>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79"/>
  <sheetViews>
    <sheetView tabSelected="1" topLeftCell="A34" workbookViewId="0">
      <selection activeCell="C50" sqref="C50"/>
    </sheetView>
  </sheetViews>
  <sheetFormatPr defaultRowHeight="14.4" x14ac:dyDescent="0.3"/>
  <cols>
    <col min="1" max="1" width="68.88671875" customWidth="1"/>
    <col min="2" max="2" width="122.109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16</v>
      </c>
      <c r="B2" s="4" t="s">
        <v>17</v>
      </c>
      <c r="C2" s="27" t="s">
        <v>5</v>
      </c>
      <c r="D2" s="24" cm="1">
        <f t="array" ref="D2">_xlfn.SWITCH(C2,"A", 0.25,"B", 0.5, "C", 0.75,"D", 1)</f>
        <v>0.75</v>
      </c>
    </row>
    <row r="3" spans="1:4" ht="93.6" x14ac:dyDescent="0.35">
      <c r="A3" s="3" t="s">
        <v>16</v>
      </c>
      <c r="B3" s="4" t="s">
        <v>18</v>
      </c>
      <c r="C3" s="27" t="s">
        <v>7</v>
      </c>
      <c r="D3" s="24" cm="1">
        <f t="array" ref="D3">_xlfn.SWITCH(C3,"A", 0.25,"B", 0.5, "C", 0.75,"D", 1)</f>
        <v>1</v>
      </c>
    </row>
    <row r="4" spans="1:4" ht="93.6" x14ac:dyDescent="0.35">
      <c r="A4" s="3" t="s">
        <v>16</v>
      </c>
      <c r="B4" s="4" t="s">
        <v>19</v>
      </c>
      <c r="C4" s="27" t="s">
        <v>5</v>
      </c>
      <c r="D4" s="24" cm="1">
        <f t="array" ref="D4">_xlfn.SWITCH(C4,"A", 0.25,"B", 0.5, "C", 0.75,"D", 1)</f>
        <v>0.75</v>
      </c>
    </row>
    <row r="5" spans="1:4" ht="93.6" x14ac:dyDescent="0.35">
      <c r="A5" s="3" t="s">
        <v>16</v>
      </c>
      <c r="B5" s="4" t="s">
        <v>20</v>
      </c>
      <c r="C5" s="27" t="s">
        <v>7</v>
      </c>
      <c r="D5" s="24" cm="1">
        <f t="array" ref="D5">_xlfn.SWITCH(C5,"A", 0.25,"B", 0.5, "C", 0.75,"D", 1)</f>
        <v>1</v>
      </c>
    </row>
    <row r="6" spans="1:4" ht="93.6" x14ac:dyDescent="0.35">
      <c r="A6" s="3" t="s">
        <v>16</v>
      </c>
      <c r="B6" s="4" t="s">
        <v>21</v>
      </c>
      <c r="C6" s="27" t="s">
        <v>7</v>
      </c>
      <c r="D6" s="24" cm="1">
        <f t="array" ref="D6">_xlfn.SWITCH(C6,"A", 0.25,"B", 0.5, "C", 0.75,"D", 1)</f>
        <v>1</v>
      </c>
    </row>
    <row r="7" spans="1:4" ht="93.6" x14ac:dyDescent="0.3">
      <c r="A7" s="5" t="s">
        <v>22</v>
      </c>
      <c r="B7" s="6" t="s">
        <v>23</v>
      </c>
      <c r="C7" s="27" t="s">
        <v>5</v>
      </c>
      <c r="D7" s="24" cm="1">
        <f t="array" ref="D7">_xlfn.SWITCH(C7,"A", 0.25,"B", 0.5, "C", 0.75,"D", 1)</f>
        <v>0.75</v>
      </c>
    </row>
    <row r="8" spans="1:4" ht="93.6" x14ac:dyDescent="0.3">
      <c r="A8" s="5" t="s">
        <v>22</v>
      </c>
      <c r="B8" s="6" t="s">
        <v>24</v>
      </c>
      <c r="C8" s="27" t="s">
        <v>7</v>
      </c>
      <c r="D8" s="24" cm="1">
        <f t="array" ref="D8">_xlfn.SWITCH(C8,"A", 0.25,"B", 0.5, "C", 0.75,"D", 1)</f>
        <v>1</v>
      </c>
    </row>
    <row r="9" spans="1:4" ht="93.6" x14ac:dyDescent="0.3">
      <c r="A9" s="5" t="s">
        <v>22</v>
      </c>
      <c r="B9" s="6" t="s">
        <v>25</v>
      </c>
      <c r="C9" s="27" t="s">
        <v>5</v>
      </c>
      <c r="D9" s="24" cm="1">
        <f t="array" ref="D9">_xlfn.SWITCH(C9,"A", 0.25,"B", 0.5, "C", 0.75,"D", 1)</f>
        <v>0.75</v>
      </c>
    </row>
    <row r="10" spans="1:4" ht="93.6" x14ac:dyDescent="0.3">
      <c r="A10" s="5" t="s">
        <v>22</v>
      </c>
      <c r="B10" s="6" t="s">
        <v>27</v>
      </c>
      <c r="C10" s="27" t="s">
        <v>6</v>
      </c>
      <c r="D10" s="24" cm="1">
        <f t="array" ref="D10">_xlfn.SWITCH(C10,"A", 0.25,"B", 0.5, "C", 0.75,"D", 1)</f>
        <v>0.25</v>
      </c>
    </row>
    <row r="11" spans="1:4" ht="109.2" x14ac:dyDescent="0.3">
      <c r="A11" s="5" t="s">
        <v>22</v>
      </c>
      <c r="B11" s="6" t="s">
        <v>26</v>
      </c>
      <c r="C11" s="27" t="s">
        <v>5</v>
      </c>
      <c r="D11" s="24" cm="1">
        <f t="array" ref="D11">_xlfn.SWITCH(C11,"A", 0.25,"B", 0.5, "C", 0.75,"D", 1)</f>
        <v>0.75</v>
      </c>
    </row>
    <row r="12" spans="1:4" ht="94.2" x14ac:dyDescent="0.35">
      <c r="A12" s="7" t="s">
        <v>28</v>
      </c>
      <c r="B12" s="6" t="s">
        <v>29</v>
      </c>
      <c r="C12" s="27" t="s">
        <v>7</v>
      </c>
      <c r="D12" s="24" cm="1">
        <f t="array" ref="D12">_xlfn.SWITCH(C12,"A", 0.25,"B", 0.5, "C", 0.75,"D", 1)</f>
        <v>1</v>
      </c>
    </row>
    <row r="13" spans="1:4" ht="94.2" x14ac:dyDescent="0.35">
      <c r="A13" s="7" t="s">
        <v>28</v>
      </c>
      <c r="B13" s="6" t="s">
        <v>30</v>
      </c>
      <c r="C13" s="27" t="s">
        <v>7</v>
      </c>
      <c r="D13" s="24" cm="1">
        <f t="array" ref="D13">_xlfn.SWITCH(C13,"A", 0.25,"B", 0.5, "C", 0.75,"D", 1)</f>
        <v>1</v>
      </c>
    </row>
    <row r="14" spans="1:4" ht="94.2" x14ac:dyDescent="0.35">
      <c r="A14" s="7" t="s">
        <v>28</v>
      </c>
      <c r="B14" s="6" t="s">
        <v>31</v>
      </c>
      <c r="C14" s="27" t="s">
        <v>7</v>
      </c>
      <c r="D14" s="24" cm="1">
        <f t="array" ref="D14">_xlfn.SWITCH(C14,"A", 0.25,"B", 0.5, "C", 0.75,"D", 1)</f>
        <v>1</v>
      </c>
    </row>
    <row r="15" spans="1:4" ht="94.2" x14ac:dyDescent="0.35">
      <c r="A15" s="7" t="s">
        <v>28</v>
      </c>
      <c r="B15" s="6" t="s">
        <v>32</v>
      </c>
      <c r="C15" s="27" t="s">
        <v>7</v>
      </c>
      <c r="D15" s="24" cm="1">
        <f t="array" ref="D15">_xlfn.SWITCH(C15,"A", 0.25,"B", 0.5, "C", 0.75,"D", 1)</f>
        <v>1</v>
      </c>
    </row>
    <row r="16" spans="1:4" ht="94.2" x14ac:dyDescent="0.35">
      <c r="A16" s="7" t="s">
        <v>28</v>
      </c>
      <c r="B16" s="6" t="s">
        <v>33</v>
      </c>
      <c r="C16" s="27" t="s">
        <v>7</v>
      </c>
      <c r="D16" s="24" cm="1">
        <f t="array" ref="D16">_xlfn.SWITCH(C16,"A", 0.25,"B", 0.5, "C", 0.75,"D", 1)</f>
        <v>1</v>
      </c>
    </row>
    <row r="17" spans="1:4" ht="94.2" x14ac:dyDescent="0.35">
      <c r="A17" s="3" t="s">
        <v>34</v>
      </c>
      <c r="B17" s="6" t="s">
        <v>35</v>
      </c>
      <c r="C17" s="27" t="s">
        <v>7</v>
      </c>
      <c r="D17" s="24" cm="1">
        <f t="array" ref="D17">_xlfn.SWITCH(C17,"A", 0.25,"B", 0.5, "C", 0.75,"D", 1)</f>
        <v>1</v>
      </c>
    </row>
    <row r="18" spans="1:4" ht="100.2" customHeight="1" x14ac:dyDescent="0.35">
      <c r="A18" s="3" t="s">
        <v>34</v>
      </c>
      <c r="B18" s="6" t="s">
        <v>36</v>
      </c>
      <c r="C18" s="27" t="s">
        <v>7</v>
      </c>
      <c r="D18" s="24" cm="1">
        <f t="array" ref="D18">_xlfn.SWITCH(C18,"A", 0.25,"B", 0.5, "C", 0.75,"D", 1)</f>
        <v>1</v>
      </c>
    </row>
    <row r="19" spans="1:4" ht="109.8" x14ac:dyDescent="0.35">
      <c r="A19" s="3" t="s">
        <v>34</v>
      </c>
      <c r="B19" s="6" t="s">
        <v>37</v>
      </c>
      <c r="C19" s="27" t="s">
        <v>5</v>
      </c>
      <c r="D19" s="24" cm="1">
        <f t="array" ref="D19">_xlfn.SWITCH(C19,"A", 0.25,"B", 0.5, "C", 0.75,"D", 1)</f>
        <v>0.75</v>
      </c>
    </row>
    <row r="20" spans="1:4" ht="109.8" x14ac:dyDescent="0.35">
      <c r="A20" s="3" t="s">
        <v>34</v>
      </c>
      <c r="B20" s="6" t="s">
        <v>38</v>
      </c>
      <c r="C20" s="27" t="s">
        <v>5</v>
      </c>
      <c r="D20" s="24" cm="1">
        <f t="array" ref="D20">_xlfn.SWITCH(C20,"A", 0.25,"B", 0.5, "C", 0.75,"D", 1)</f>
        <v>0.75</v>
      </c>
    </row>
    <row r="21" spans="1:4" ht="94.2" x14ac:dyDescent="0.35">
      <c r="A21" s="3" t="s">
        <v>34</v>
      </c>
      <c r="B21" s="6" t="s">
        <v>39</v>
      </c>
      <c r="C21" s="27" t="s">
        <v>5</v>
      </c>
      <c r="D21" s="24" cm="1">
        <f t="array" ref="D21">_xlfn.SWITCH(C21,"A", 0.25,"B", 0.5, "C", 0.75,"D", 1)</f>
        <v>0.75</v>
      </c>
    </row>
    <row r="22" spans="1:4" ht="127.8" customHeight="1" x14ac:dyDescent="0.35">
      <c r="A22" s="3" t="s">
        <v>40</v>
      </c>
      <c r="B22" s="6" t="s">
        <v>41</v>
      </c>
      <c r="C22" s="27" t="s">
        <v>4</v>
      </c>
      <c r="D22" s="24" cm="1">
        <f t="array" ref="D22">_xlfn.SWITCH(C22,"A", 0.25,"B", 0.5, "C", 0.75,"D", 1)</f>
        <v>0.5</v>
      </c>
    </row>
    <row r="23" spans="1:4" ht="96.6" customHeight="1" x14ac:dyDescent="0.35">
      <c r="A23" s="3" t="s">
        <v>40</v>
      </c>
      <c r="B23" s="6" t="s">
        <v>42</v>
      </c>
      <c r="C23" s="27" t="s">
        <v>6</v>
      </c>
      <c r="D23" s="24" cm="1">
        <f t="array" ref="D23">_xlfn.SWITCH(C23,"A", 0.25,"B", 0.5, "C", 0.75,"D", 1)</f>
        <v>0.25</v>
      </c>
    </row>
    <row r="24" spans="1:4" ht="111.6" customHeight="1" x14ac:dyDescent="0.35">
      <c r="A24" s="3" t="s">
        <v>40</v>
      </c>
      <c r="B24" s="6" t="s">
        <v>43</v>
      </c>
      <c r="C24" s="27" t="s">
        <v>7</v>
      </c>
      <c r="D24" s="24" cm="1">
        <f t="array" ref="D24">_xlfn.SWITCH(C24,"A", 0.25,"B", 0.5, "C", 0.75,"D", 1)</f>
        <v>1</v>
      </c>
    </row>
    <row r="25" spans="1:4" ht="109.8" x14ac:dyDescent="0.35">
      <c r="A25" s="3" t="s">
        <v>40</v>
      </c>
      <c r="B25" s="6" t="s">
        <v>45</v>
      </c>
      <c r="C25" s="27" t="s">
        <v>5</v>
      </c>
      <c r="D25" s="24" cm="1">
        <f t="array" ref="D25">_xlfn.SWITCH(C25,"A", 0.25,"B", 0.5, "C", 0.75,"D", 1)</f>
        <v>0.75</v>
      </c>
    </row>
    <row r="26" spans="1:4" ht="96.6" customHeight="1" x14ac:dyDescent="0.35">
      <c r="A26" s="3" t="s">
        <v>40</v>
      </c>
      <c r="B26" s="6" t="s">
        <v>44</v>
      </c>
      <c r="C26" s="27" t="s">
        <v>5</v>
      </c>
      <c r="D26" s="24" cm="1">
        <f t="array" ref="D26">_xlfn.SWITCH(C26,"A", 0.25,"B", 0.5, "C", 0.75,"D", 1)</f>
        <v>0.75</v>
      </c>
    </row>
    <row r="27" spans="1:4" ht="120.6" customHeight="1" x14ac:dyDescent="0.35">
      <c r="A27" s="7" t="s">
        <v>46</v>
      </c>
      <c r="B27" s="6" t="s">
        <v>47</v>
      </c>
      <c r="C27" s="27" t="s">
        <v>4</v>
      </c>
      <c r="D27" s="24" cm="1">
        <f t="array" ref="D27">_xlfn.SWITCH(C27,"A", 0.25,"B", 0.5, "C", 0.75,"D", 1)</f>
        <v>0.5</v>
      </c>
    </row>
    <row r="28" spans="1:4" ht="105.6" customHeight="1" x14ac:dyDescent="0.35">
      <c r="A28" s="7" t="s">
        <v>46</v>
      </c>
      <c r="B28" s="6" t="s">
        <v>48</v>
      </c>
      <c r="C28" s="27" t="s">
        <v>7</v>
      </c>
      <c r="D28" s="24" cm="1">
        <f t="array" ref="D28">_xlfn.SWITCH(C28,"A", 0.25,"B", 0.5, "C", 0.75,"D", 1)</f>
        <v>1</v>
      </c>
    </row>
    <row r="29" spans="1:4" ht="103.8" customHeight="1" x14ac:dyDescent="0.35">
      <c r="A29" s="7" t="s">
        <v>46</v>
      </c>
      <c r="B29" s="6" t="s">
        <v>49</v>
      </c>
      <c r="C29" s="27" t="s">
        <v>7</v>
      </c>
      <c r="D29" s="24" cm="1">
        <f t="array" ref="D29">_xlfn.SWITCH(C29,"A", 0.25,"B", 0.5, "C", 0.75,"D", 1)</f>
        <v>1</v>
      </c>
    </row>
    <row r="30" spans="1:4" ht="109.8" x14ac:dyDescent="0.35">
      <c r="A30" s="7" t="s">
        <v>46</v>
      </c>
      <c r="B30" s="6" t="s">
        <v>50</v>
      </c>
      <c r="C30" s="27" t="s">
        <v>7</v>
      </c>
      <c r="D30" s="24" cm="1">
        <f t="array" ref="D30">_xlfn.SWITCH(C30,"A", 0.25,"B", 0.5, "C", 0.75,"D", 1)</f>
        <v>1</v>
      </c>
    </row>
    <row r="31" spans="1:4" ht="115.2" customHeight="1" x14ac:dyDescent="0.35">
      <c r="A31" s="7" t="s">
        <v>46</v>
      </c>
      <c r="B31" s="6" t="s">
        <v>51</v>
      </c>
      <c r="C31" s="27" t="s">
        <v>5</v>
      </c>
      <c r="D31" s="24" cm="1">
        <f t="array" ref="D31">_xlfn.SWITCH(C31,"A", 0.25,"B", 0.5, "C", 0.75,"D", 1)</f>
        <v>0.75</v>
      </c>
    </row>
    <row r="32" spans="1:4" ht="122.4" customHeight="1" x14ac:dyDescent="0.35">
      <c r="A32" s="7" t="s">
        <v>52</v>
      </c>
      <c r="B32" s="6" t="s">
        <v>53</v>
      </c>
      <c r="C32" s="27" t="s">
        <v>5</v>
      </c>
      <c r="D32" s="24" cm="1">
        <f t="array" ref="D32">_xlfn.SWITCH(C32,"A", 0.25,"B", 0.5, "C", 0.75,"D", 1)</f>
        <v>0.75</v>
      </c>
    </row>
    <row r="33" spans="1:4" ht="106.8" customHeight="1" x14ac:dyDescent="0.35">
      <c r="A33" s="7" t="s">
        <v>52</v>
      </c>
      <c r="B33" s="6" t="s">
        <v>54</v>
      </c>
      <c r="C33" s="27" t="s">
        <v>5</v>
      </c>
      <c r="D33" s="24" cm="1">
        <f t="array" ref="D33">_xlfn.SWITCH(C33,"A", 0.25,"B", 0.5, "C", 0.75,"D", 1)</f>
        <v>0.75</v>
      </c>
    </row>
    <row r="34" spans="1:4" ht="104.4" customHeight="1" x14ac:dyDescent="0.35">
      <c r="A34" s="7" t="s">
        <v>52</v>
      </c>
      <c r="B34" s="6" t="s">
        <v>55</v>
      </c>
      <c r="C34" s="27" t="s">
        <v>7</v>
      </c>
      <c r="D34" s="24" cm="1">
        <f t="array" ref="D34">_xlfn.SWITCH(C34,"A", 0.25,"B", 0.5, "C", 0.75,"D", 1)</f>
        <v>1</v>
      </c>
    </row>
    <row r="35" spans="1:4" ht="100.8" customHeight="1" x14ac:dyDescent="0.35">
      <c r="A35" s="7" t="s">
        <v>52</v>
      </c>
      <c r="B35" s="6" t="s">
        <v>56</v>
      </c>
      <c r="C35" s="27" t="s">
        <v>5</v>
      </c>
      <c r="D35" s="24" cm="1">
        <f t="array" ref="D35">_xlfn.SWITCH(C35,"A", 0.25,"B", 0.5, "C", 0.75,"D", 1)</f>
        <v>0.75</v>
      </c>
    </row>
    <row r="36" spans="1:4" ht="93.6" customHeight="1" x14ac:dyDescent="0.35">
      <c r="A36" s="7" t="s">
        <v>52</v>
      </c>
      <c r="B36" s="6" t="s">
        <v>57</v>
      </c>
      <c r="C36" s="27" t="s">
        <v>7</v>
      </c>
      <c r="D36" s="24" cm="1">
        <f t="array" ref="D36">_xlfn.SWITCH(C36,"A", 0.25,"B", 0.5, "C", 0.75,"D", 1)</f>
        <v>1</v>
      </c>
    </row>
    <row r="37" spans="1:4" ht="106.2" customHeight="1" x14ac:dyDescent="0.35">
      <c r="A37" s="7" t="s">
        <v>58</v>
      </c>
      <c r="B37" s="6" t="s">
        <v>60</v>
      </c>
      <c r="C37" s="27" t="s">
        <v>7</v>
      </c>
      <c r="D37" s="24" cm="1">
        <f t="array" ref="D37">_xlfn.SWITCH(C37,"A", 0.25,"B", 0.5, "C", 0.75,"D", 1)</f>
        <v>1</v>
      </c>
    </row>
    <row r="38" spans="1:4" ht="109.2" customHeight="1" x14ac:dyDescent="0.35">
      <c r="A38" s="7" t="s">
        <v>58</v>
      </c>
      <c r="B38" s="8" t="s">
        <v>59</v>
      </c>
      <c r="C38" s="27" t="s">
        <v>7</v>
      </c>
      <c r="D38" s="24" cm="1">
        <f t="array" ref="D38">_xlfn.SWITCH(C38,"A", 0.25,"B", 0.5, "C", 0.75,"D", 1)</f>
        <v>1</v>
      </c>
    </row>
    <row r="39" spans="1:4" ht="100.8" customHeight="1" x14ac:dyDescent="0.35">
      <c r="A39" s="7" t="s">
        <v>58</v>
      </c>
      <c r="B39" s="8" t="s">
        <v>61</v>
      </c>
      <c r="C39" s="27" t="s">
        <v>7</v>
      </c>
      <c r="D39" s="24" cm="1">
        <f t="array" ref="D39">_xlfn.SWITCH(C39,"A", 0.25,"B", 0.5, "C", 0.75,"D", 1)</f>
        <v>1</v>
      </c>
    </row>
    <row r="40" spans="1:4" ht="108" customHeight="1" x14ac:dyDescent="0.35">
      <c r="A40" s="7" t="s">
        <v>58</v>
      </c>
      <c r="B40" s="8" t="s">
        <v>62</v>
      </c>
      <c r="C40" s="27" t="s">
        <v>4</v>
      </c>
      <c r="D40" s="24" cm="1">
        <f t="array" ref="D40">_xlfn.SWITCH(C40,"A", 0.25,"B", 0.5, "C", 0.75,"D", 1)</f>
        <v>0.5</v>
      </c>
    </row>
    <row r="41" spans="1:4" ht="105" customHeight="1" x14ac:dyDescent="0.35">
      <c r="A41" s="7" t="s">
        <v>58</v>
      </c>
      <c r="B41" s="8" t="s">
        <v>63</v>
      </c>
      <c r="C41" s="27" t="s">
        <v>5</v>
      </c>
      <c r="D41" s="24" cm="1">
        <f t="array" ref="D41">_xlfn.SWITCH(C41,"A", 0.25,"B", 0.5, "C", 0.75,"D", 1)</f>
        <v>0.75</v>
      </c>
    </row>
    <row r="42" spans="1:4" ht="109.8" x14ac:dyDescent="0.35">
      <c r="A42" s="7" t="s">
        <v>64</v>
      </c>
      <c r="B42" s="8" t="s">
        <v>65</v>
      </c>
      <c r="C42" s="27" t="s">
        <v>5</v>
      </c>
      <c r="D42" s="24" cm="1">
        <f t="array" ref="D42">_xlfn.SWITCH(C42,"A", 0.25,"B", 0.5, "C", 0.75,"D", 1)</f>
        <v>0.75</v>
      </c>
    </row>
    <row r="43" spans="1:4" ht="127.8" customHeight="1" x14ac:dyDescent="0.35">
      <c r="A43" s="3" t="s">
        <v>64</v>
      </c>
      <c r="B43" s="6" t="s">
        <v>66</v>
      </c>
      <c r="C43" s="27" t="s">
        <v>4</v>
      </c>
      <c r="D43" s="24" cm="1">
        <f t="array" ref="D43">_xlfn.SWITCH(C43,"A", 0.25,"B", 0.5, "C", 0.75,"D", 1)</f>
        <v>0.5</v>
      </c>
    </row>
    <row r="44" spans="1:4" ht="111" customHeight="1" x14ac:dyDescent="0.35">
      <c r="A44" s="3" t="s">
        <v>64</v>
      </c>
      <c r="B44" s="6" t="s">
        <v>67</v>
      </c>
      <c r="C44" s="27" t="s">
        <v>7</v>
      </c>
      <c r="D44" s="24" cm="1">
        <f t="array" ref="D44">_xlfn.SWITCH(C44,"A", 0.25,"B", 0.5, "C", 0.75,"D", 1)</f>
        <v>1</v>
      </c>
    </row>
    <row r="45" spans="1:4" ht="110.4" customHeight="1" x14ac:dyDescent="0.35">
      <c r="A45" s="3" t="s">
        <v>64</v>
      </c>
      <c r="B45" s="6" t="s">
        <v>68</v>
      </c>
      <c r="C45" s="27" t="s">
        <v>7</v>
      </c>
      <c r="D45" s="24" cm="1">
        <f t="array" ref="D45">_xlfn.SWITCH(C45,"A", 0.25,"B", 0.5, "C", 0.75,"D", 1)</f>
        <v>1</v>
      </c>
    </row>
    <row r="46" spans="1:4" ht="136.19999999999999" customHeight="1" x14ac:dyDescent="0.35">
      <c r="A46" s="3" t="s">
        <v>64</v>
      </c>
      <c r="B46" s="6" t="s">
        <v>69</v>
      </c>
      <c r="C46" s="27" t="s">
        <v>7</v>
      </c>
      <c r="D46" s="24" cm="1">
        <f t="array" ref="D46">_xlfn.SWITCH(C46,"A", 0.25,"B", 0.5, "C", 0.75,"D", 1)</f>
        <v>1</v>
      </c>
    </row>
    <row r="47" spans="1:4" ht="105" customHeight="1" x14ac:dyDescent="0.35">
      <c r="A47" s="3" t="s">
        <v>70</v>
      </c>
      <c r="B47" s="6" t="s">
        <v>71</v>
      </c>
      <c r="C47" s="27" t="s">
        <v>7</v>
      </c>
      <c r="D47" s="24" cm="1">
        <f t="array" ref="D47">_xlfn.SWITCH(C47,"A", 0.25,"B", 0.5, "C", 0.75,"D", 1)</f>
        <v>1</v>
      </c>
    </row>
    <row r="48" spans="1:4" ht="104.4" customHeight="1" x14ac:dyDescent="0.35">
      <c r="A48" s="3" t="s">
        <v>70</v>
      </c>
      <c r="B48" s="6" t="s">
        <v>72</v>
      </c>
      <c r="C48" s="27" t="s">
        <v>7</v>
      </c>
      <c r="D48" s="24" cm="1">
        <f t="array" ref="D48">_xlfn.SWITCH(C48,"A", 0.25,"B", 0.5, "C", 0.75,"D", 1)</f>
        <v>1</v>
      </c>
    </row>
    <row r="49" spans="1:4" ht="124.8" customHeight="1" x14ac:dyDescent="0.35">
      <c r="A49" s="3" t="s">
        <v>70</v>
      </c>
      <c r="B49" s="6" t="s">
        <v>73</v>
      </c>
      <c r="C49" s="27" t="s">
        <v>7</v>
      </c>
      <c r="D49" s="24" cm="1">
        <f t="array" ref="D49">_xlfn.SWITCH(C49,"A", 0.25,"B", 0.5, "C", 0.75,"D", 1)</f>
        <v>1</v>
      </c>
    </row>
    <row r="50" spans="1:4" ht="105" customHeight="1" x14ac:dyDescent="0.35">
      <c r="A50" s="3" t="s">
        <v>70</v>
      </c>
      <c r="B50" s="6" t="s">
        <v>74</v>
      </c>
      <c r="C50" s="27" t="s">
        <v>5</v>
      </c>
      <c r="D50" s="24" cm="1">
        <f t="array" ref="D50">_xlfn.SWITCH(C50,"A", 0.25,"B", 0.5, "C", 0.75,"D", 1)</f>
        <v>0.75</v>
      </c>
    </row>
    <row r="51" spans="1:4" ht="111" customHeight="1" x14ac:dyDescent="0.35">
      <c r="A51" s="3" t="s">
        <v>70</v>
      </c>
      <c r="B51" s="6" t="s">
        <v>75</v>
      </c>
      <c r="C51" s="27" t="s">
        <v>5</v>
      </c>
      <c r="D51" s="24" cm="1">
        <f t="array" ref="D51">_xlfn.SWITCH(C51,"A", 0.25,"B", 0.5, "C", 0.75,"D", 1)</f>
        <v>0.75</v>
      </c>
    </row>
    <row r="52" spans="1:4" ht="94.2" x14ac:dyDescent="0.35">
      <c r="A52" s="3" t="s">
        <v>76</v>
      </c>
      <c r="B52" s="6" t="s">
        <v>78</v>
      </c>
      <c r="C52" s="27" t="s">
        <v>4</v>
      </c>
      <c r="D52" s="24" cm="1">
        <f t="array" ref="D52">_xlfn.SWITCH(C52,"A", 0.25,"B", 0.5, "C", 0.75,"D", 1)</f>
        <v>0.5</v>
      </c>
    </row>
    <row r="53" spans="1:4" ht="103.2" customHeight="1" x14ac:dyDescent="0.35">
      <c r="A53" s="3" t="s">
        <v>76</v>
      </c>
      <c r="B53" s="6" t="s">
        <v>77</v>
      </c>
      <c r="C53" s="27" t="s">
        <v>6</v>
      </c>
      <c r="D53" s="24" cm="1">
        <f t="array" ref="D53">_xlfn.SWITCH(C53,"A", 0.25,"B", 0.5, "C", 0.75,"D", 1)</f>
        <v>0.25</v>
      </c>
    </row>
    <row r="54" spans="1:4" ht="91.2" customHeight="1" x14ac:dyDescent="0.35">
      <c r="A54" s="3" t="s">
        <v>76</v>
      </c>
      <c r="B54" s="6" t="s">
        <v>81</v>
      </c>
      <c r="C54" s="27" t="s">
        <v>6</v>
      </c>
      <c r="D54" s="24" cm="1">
        <f t="array" ref="D54">_xlfn.SWITCH(C54,"A", 0.25,"B", 0.5, "C", 0.75,"D", 1)</f>
        <v>0.25</v>
      </c>
    </row>
    <row r="55" spans="1:4" ht="106.2" customHeight="1" x14ac:dyDescent="0.35">
      <c r="A55" s="3" t="s">
        <v>76</v>
      </c>
      <c r="B55" s="6" t="s">
        <v>79</v>
      </c>
      <c r="C55" s="27" t="s">
        <v>4</v>
      </c>
      <c r="D55" s="24" cm="1">
        <f t="array" ref="D55">_xlfn.SWITCH(C55,"A", 0.25,"B", 0.5, "C", 0.75,"D", 1)</f>
        <v>0.5</v>
      </c>
    </row>
    <row r="56" spans="1:4" ht="109.2" customHeight="1" x14ac:dyDescent="0.35">
      <c r="A56" s="3" t="s">
        <v>76</v>
      </c>
      <c r="B56" s="8" t="s">
        <v>80</v>
      </c>
      <c r="C56" s="27" t="s">
        <v>4</v>
      </c>
      <c r="D56" s="24" cm="1">
        <f t="array" ref="D56">_xlfn.SWITCH(C56,"A", 0.25,"B", 0.5, "C", 0.75,"D", 1)</f>
        <v>0.5</v>
      </c>
    </row>
    <row r="57" spans="1:4" ht="106.8" customHeight="1" x14ac:dyDescent="0.35">
      <c r="A57" s="7" t="s">
        <v>82</v>
      </c>
      <c r="B57" s="6" t="s">
        <v>83</v>
      </c>
      <c r="C57" s="27" t="s">
        <v>7</v>
      </c>
      <c r="D57" s="24" cm="1">
        <f t="array" ref="D57">_xlfn.SWITCH(C57,"A", 0.25,"B", 0.5, "C", 0.75,"D", 1)</f>
        <v>1</v>
      </c>
    </row>
    <row r="58" spans="1:4" ht="102.6" customHeight="1" x14ac:dyDescent="0.35">
      <c r="A58" s="7" t="s">
        <v>82</v>
      </c>
      <c r="B58" s="6" t="s">
        <v>84</v>
      </c>
      <c r="C58" s="27" t="s">
        <v>7</v>
      </c>
      <c r="D58" s="24" cm="1">
        <f t="array" ref="D58">_xlfn.SWITCH(C58,"A", 0.25,"B", 0.5, "C", 0.75,"D", 1)</f>
        <v>1</v>
      </c>
    </row>
    <row r="59" spans="1:4" ht="94.2" x14ac:dyDescent="0.35">
      <c r="A59" s="7" t="s">
        <v>82</v>
      </c>
      <c r="B59" s="6" t="s">
        <v>85</v>
      </c>
      <c r="C59" s="27" t="s">
        <v>5</v>
      </c>
      <c r="D59" s="24" cm="1">
        <f t="array" ref="D59">_xlfn.SWITCH(C59,"A", 0.25,"B", 0.5, "C", 0.75,"D", 1)</f>
        <v>0.75</v>
      </c>
    </row>
    <row r="60" spans="1:4" ht="109.8" x14ac:dyDescent="0.35">
      <c r="A60" s="7" t="s">
        <v>82</v>
      </c>
      <c r="B60" s="6" t="s">
        <v>86</v>
      </c>
      <c r="C60" s="27" t="s">
        <v>4</v>
      </c>
      <c r="D60" s="24" cm="1">
        <f t="array" ref="D60">_xlfn.SWITCH(C60,"A", 0.25,"B", 0.5, "C", 0.75,"D", 1)</f>
        <v>0.5</v>
      </c>
    </row>
    <row r="61" spans="1:4" ht="109.8" customHeight="1" x14ac:dyDescent="0.35">
      <c r="A61" s="7" t="s">
        <v>82</v>
      </c>
      <c r="B61" s="6" t="s">
        <v>87</v>
      </c>
      <c r="C61" s="27" t="s">
        <v>6</v>
      </c>
      <c r="D61" s="24" cm="1">
        <f t="array" ref="D61">_xlfn.SWITCH(C61,"A", 0.25,"B", 0.5, "C", 0.75,"D", 1)</f>
        <v>0.25</v>
      </c>
    </row>
    <row r="62" spans="1:4" ht="109.2" customHeight="1" x14ac:dyDescent="0.35">
      <c r="A62" s="7" t="s">
        <v>88</v>
      </c>
      <c r="B62" s="6" t="s">
        <v>89</v>
      </c>
      <c r="C62" s="27" t="s">
        <v>4</v>
      </c>
      <c r="D62" s="24" cm="1">
        <f t="array" ref="D62">_xlfn.SWITCH(C62,"A", 0.25,"B", 0.5, "C", 0.75,"D", 1)</f>
        <v>0.5</v>
      </c>
    </row>
    <row r="63" spans="1:4" ht="104.4" customHeight="1" x14ac:dyDescent="0.35">
      <c r="A63" s="7" t="s">
        <v>88</v>
      </c>
      <c r="B63" s="6" t="s">
        <v>90</v>
      </c>
      <c r="C63" s="27" t="s">
        <v>5</v>
      </c>
      <c r="D63" s="24" cm="1">
        <f t="array" ref="D63">_xlfn.SWITCH(C63,"A", 0.25,"B", 0.5, "C", 0.75,"D", 1)</f>
        <v>0.75</v>
      </c>
    </row>
    <row r="64" spans="1:4" ht="101.4" customHeight="1" x14ac:dyDescent="0.35">
      <c r="A64" s="7" t="s">
        <v>88</v>
      </c>
      <c r="B64" s="6" t="s">
        <v>91</v>
      </c>
      <c r="C64" s="27" t="s">
        <v>7</v>
      </c>
      <c r="D64" s="24" cm="1">
        <f t="array" ref="D64">_xlfn.SWITCH(C64,"A", 0.25,"B", 0.5, "C", 0.75,"D", 1)</f>
        <v>1</v>
      </c>
    </row>
    <row r="65" spans="1:4" ht="109.2" customHeight="1" x14ac:dyDescent="0.35">
      <c r="A65" s="7" t="s">
        <v>88</v>
      </c>
      <c r="B65" s="6" t="s">
        <v>92</v>
      </c>
      <c r="C65" s="27" t="s">
        <v>5</v>
      </c>
      <c r="D65" s="24" cm="1">
        <f t="array" ref="D65">_xlfn.SWITCH(C65,"A", 0.25,"B", 0.5, "C", 0.75,"D", 1)</f>
        <v>0.75</v>
      </c>
    </row>
    <row r="66" spans="1:4" ht="105" customHeight="1" x14ac:dyDescent="0.35">
      <c r="A66" s="7" t="s">
        <v>88</v>
      </c>
      <c r="B66" s="6" t="s">
        <v>93</v>
      </c>
      <c r="C66" s="27" t="s">
        <v>5</v>
      </c>
      <c r="D66" s="24" cm="1">
        <f t="array" ref="D66">_xlfn.SWITCH(C66,"A", 0.25,"B", 0.5, "C", 0.75,"D", 1)</f>
        <v>0.75</v>
      </c>
    </row>
    <row r="67" spans="1:4" ht="108.6" customHeight="1" x14ac:dyDescent="0.35">
      <c r="A67" s="7" t="s">
        <v>94</v>
      </c>
      <c r="B67" s="6" t="s">
        <v>95</v>
      </c>
      <c r="C67" s="27" t="s">
        <v>7</v>
      </c>
      <c r="D67" s="24" cm="1">
        <f t="array" ref="D67">_xlfn.SWITCH(C67,"A", 0.25,"B", 0.5, "C", 0.75,"D", 1)</f>
        <v>1</v>
      </c>
    </row>
    <row r="68" spans="1:4" ht="113.4" customHeight="1" x14ac:dyDescent="0.35">
      <c r="A68" s="7" t="s">
        <v>94</v>
      </c>
      <c r="B68" s="6" t="s">
        <v>96</v>
      </c>
      <c r="C68" s="27" t="s">
        <v>6</v>
      </c>
      <c r="D68" s="24" cm="1">
        <f t="array" ref="D68">_xlfn.SWITCH(C68,"A", 0.25,"B", 0.5, "C", 0.75,"D", 1)</f>
        <v>0.25</v>
      </c>
    </row>
    <row r="69" spans="1:4" ht="120" customHeight="1" x14ac:dyDescent="0.35">
      <c r="A69" s="7" t="s">
        <v>94</v>
      </c>
      <c r="B69" s="6" t="s">
        <v>97</v>
      </c>
      <c r="C69" s="27" t="s">
        <v>4</v>
      </c>
      <c r="D69" s="24" cm="1">
        <f t="array" ref="D69">_xlfn.SWITCH(C69,"A", 0.25,"B", 0.5, "C", 0.75,"D", 1)</f>
        <v>0.5</v>
      </c>
    </row>
    <row r="70" spans="1:4" ht="109.8" x14ac:dyDescent="0.35">
      <c r="A70" s="7" t="s">
        <v>94</v>
      </c>
      <c r="B70" s="6" t="s">
        <v>98</v>
      </c>
      <c r="C70" s="27" t="s">
        <v>5</v>
      </c>
      <c r="D70" s="24" cm="1">
        <f t="array" ref="D70">_xlfn.SWITCH(C70,"A", 0.25,"B", 0.5, "C", 0.75,"D", 1)</f>
        <v>0.75</v>
      </c>
    </row>
    <row r="71" spans="1:4" ht="109.2" customHeight="1" x14ac:dyDescent="0.35">
      <c r="A71" s="7" t="s">
        <v>94</v>
      </c>
      <c r="B71" s="6" t="s">
        <v>99</v>
      </c>
      <c r="C71" s="27" t="s">
        <v>7</v>
      </c>
      <c r="D71" s="24" cm="1">
        <f t="array" ref="D71">_xlfn.SWITCH(C71,"A", 0.25,"B", 0.5, "C", 0.75,"D", 1)</f>
        <v>1</v>
      </c>
    </row>
    <row r="72" spans="1:4" ht="125.4" customHeight="1" x14ac:dyDescent="0.35">
      <c r="A72" s="7" t="s">
        <v>100</v>
      </c>
      <c r="B72" s="6" t="s">
        <v>101</v>
      </c>
      <c r="C72" s="27" t="s">
        <v>7</v>
      </c>
      <c r="D72" s="24" cm="1">
        <f t="array" ref="D72">_xlfn.SWITCH(C72,"A", 0.25,"B", 0.5, "C", 0.75,"D", 1)</f>
        <v>1</v>
      </c>
    </row>
    <row r="73" spans="1:4" ht="111.6" customHeight="1" x14ac:dyDescent="0.35">
      <c r="A73" s="7" t="s">
        <v>100</v>
      </c>
      <c r="B73" s="6" t="s">
        <v>102</v>
      </c>
      <c r="C73" s="27" t="s">
        <v>5</v>
      </c>
      <c r="D73" s="24" cm="1">
        <f t="array" ref="D73">_xlfn.SWITCH(C73,"A", 0.25,"B", 0.5, "C", 0.75,"D", 1)</f>
        <v>0.75</v>
      </c>
    </row>
    <row r="74" spans="1:4" ht="105" customHeight="1" x14ac:dyDescent="0.35">
      <c r="A74" s="7" t="s">
        <v>100</v>
      </c>
      <c r="B74" s="6" t="s">
        <v>103</v>
      </c>
      <c r="C74" s="27" t="s">
        <v>4</v>
      </c>
      <c r="D74" s="24" cm="1">
        <f t="array" ref="D74">_xlfn.SWITCH(C74,"A", 0.25,"B", 0.5, "C", 0.75,"D", 1)</f>
        <v>0.5</v>
      </c>
    </row>
    <row r="75" spans="1:4" ht="110.4" customHeight="1" x14ac:dyDescent="0.35">
      <c r="A75" s="7" t="s">
        <v>100</v>
      </c>
      <c r="B75" s="6" t="s">
        <v>104</v>
      </c>
      <c r="C75" s="27" t="s">
        <v>6</v>
      </c>
      <c r="D75" s="24" cm="1">
        <f t="array" ref="D75">_xlfn.SWITCH(C75,"A", 0.25,"B", 0.5, "C", 0.75,"D", 1)</f>
        <v>0.25</v>
      </c>
    </row>
    <row r="76" spans="1:4" ht="105.6" customHeight="1" x14ac:dyDescent="0.35">
      <c r="A76" s="7" t="s">
        <v>100</v>
      </c>
      <c r="B76" s="6" t="s">
        <v>105</v>
      </c>
      <c r="C76" s="27" t="s">
        <v>7</v>
      </c>
      <c r="D76" s="24" cm="1">
        <f t="array" ref="D76">_xlfn.SWITCH(C76,"A", 0.25,"B", 0.5, "C", 0.75,"D", 1)</f>
        <v>1</v>
      </c>
    </row>
    <row r="78" spans="1:4" ht="25.2" customHeight="1" x14ac:dyDescent="0.3"/>
    <row r="79" spans="1:4" ht="28.2" customHeight="1" x14ac:dyDescent="0.35">
      <c r="A79" s="14" t="s">
        <v>122</v>
      </c>
      <c r="B79" s="7"/>
      <c r="C79" s="2"/>
    </row>
  </sheetData>
  <sheetProtection algorithmName="SHA-512" hashValue="Bxw6tzwbKjvhy4zlwArCpV9zEyuCB9Li8uD50RZaFXrNyOE4H9BN6xFUvmNlxtqQj5gZPBmaWD097lsoWyCaFA==" saltValue="uulmoAE9LkFJrdMVz5cEAQ==" spinCount="100000" sheet="1" objects="1" scenarios="1"/>
  <dataValidations xWindow="1284" yWindow="779" count="1">
    <dataValidation type="list" allowBlank="1" showInputMessage="1" showErrorMessage="1" promptTitle="Select Organization Response" prompt="Select 1 out of A,B,C,D" sqref="C2:C76" xr:uid="{38769ACA-BE52-4C22-A94E-0EFE0281E8FE}">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1"/>
  <sheetViews>
    <sheetView topLeftCell="A4" zoomScale="78" zoomScaleNormal="78" workbookViewId="0">
      <selection activeCell="A41" sqref="A41"/>
    </sheetView>
  </sheetViews>
  <sheetFormatPr defaultRowHeight="14.4" x14ac:dyDescent="0.3"/>
  <cols>
    <col min="1" max="1" width="71.6640625" customWidth="1"/>
    <col min="2" max="2" width="38.21875" bestFit="1" customWidth="1"/>
    <col min="3" max="3" width="26.33203125" customWidth="1"/>
    <col min="4" max="4" width="23.88671875" customWidth="1"/>
    <col min="5" max="5" width="24.21875" customWidth="1"/>
  </cols>
  <sheetData>
    <row r="1" spans="1:4" ht="49.2" customHeight="1" thickBot="1" x14ac:dyDescent="0.35">
      <c r="A1" s="1" t="s">
        <v>0</v>
      </c>
      <c r="B1" s="11" t="s">
        <v>8</v>
      </c>
      <c r="C1" s="12" t="s">
        <v>9</v>
      </c>
      <c r="D1" s="12" t="s">
        <v>10</v>
      </c>
    </row>
    <row r="2" spans="1:4" ht="18" x14ac:dyDescent="0.35">
      <c r="A2" s="3" t="s">
        <v>16</v>
      </c>
      <c r="B2" s="25">
        <f>AVERAGEIF(User_Responses!$A$2:$A$76, A2, User_Responses!$D$2:$D$76)</f>
        <v>0.9</v>
      </c>
      <c r="C2" s="18">
        <v>3</v>
      </c>
      <c r="D2" s="26">
        <f>B2*C2</f>
        <v>2.7</v>
      </c>
    </row>
    <row r="3" spans="1:4" ht="18" x14ac:dyDescent="0.35">
      <c r="A3" s="5" t="s">
        <v>22</v>
      </c>
      <c r="B3" s="25">
        <f>AVERAGEIF(User_Responses!$A$2:$A$76, A3, User_Responses!$D$2:$D$76)</f>
        <v>0.7</v>
      </c>
      <c r="C3" s="18">
        <v>3</v>
      </c>
      <c r="D3" s="26">
        <f t="shared" ref="D3:D15" si="0">B3*C3</f>
        <v>2.0999999999999996</v>
      </c>
    </row>
    <row r="4" spans="1:4" ht="18" x14ac:dyDescent="0.35">
      <c r="A4" s="7" t="s">
        <v>28</v>
      </c>
      <c r="B4" s="25">
        <f>AVERAGEIF(User_Responses!$A$2:$A$76, A4, User_Responses!$D$2:$D$76)</f>
        <v>1</v>
      </c>
      <c r="C4" s="18">
        <v>3</v>
      </c>
      <c r="D4" s="26">
        <f t="shared" si="0"/>
        <v>3</v>
      </c>
    </row>
    <row r="5" spans="1:4" ht="18" x14ac:dyDescent="0.35">
      <c r="A5" s="3" t="s">
        <v>34</v>
      </c>
      <c r="B5" s="25">
        <f>AVERAGEIF(User_Responses!$A$2:$A$76, A5, User_Responses!$D$2:$D$76)</f>
        <v>0.85</v>
      </c>
      <c r="C5" s="18">
        <v>3</v>
      </c>
      <c r="D5" s="26">
        <f t="shared" si="0"/>
        <v>2.5499999999999998</v>
      </c>
    </row>
    <row r="6" spans="1:4" ht="18" x14ac:dyDescent="0.35">
      <c r="A6" s="3" t="s">
        <v>40</v>
      </c>
      <c r="B6" s="25">
        <f>AVERAGEIF(User_Responses!$A$2:$A$76, A6, User_Responses!$D$2:$D$76)</f>
        <v>0.65</v>
      </c>
      <c r="C6" s="18">
        <v>2</v>
      </c>
      <c r="D6" s="26">
        <f t="shared" si="0"/>
        <v>1.3</v>
      </c>
    </row>
    <row r="7" spans="1:4" ht="18" x14ac:dyDescent="0.35">
      <c r="A7" s="7" t="s">
        <v>52</v>
      </c>
      <c r="B7" s="25">
        <f>AVERAGEIF(User_Responses!$A$2:$A$76, A7, User_Responses!$D$2:$D$76)</f>
        <v>0.85</v>
      </c>
      <c r="C7" s="18">
        <v>2</v>
      </c>
      <c r="D7" s="26">
        <f t="shared" si="0"/>
        <v>1.7</v>
      </c>
    </row>
    <row r="8" spans="1:4" ht="18" x14ac:dyDescent="0.35">
      <c r="A8" s="7" t="s">
        <v>58</v>
      </c>
      <c r="B8" s="25">
        <f>AVERAGEIF(User_Responses!$A$2:$A$76, A8, User_Responses!$D$2:$D$76)</f>
        <v>0.85</v>
      </c>
      <c r="C8" s="18">
        <v>2</v>
      </c>
      <c r="D8" s="26">
        <f t="shared" si="0"/>
        <v>1.7</v>
      </c>
    </row>
    <row r="9" spans="1:4" ht="18" x14ac:dyDescent="0.35">
      <c r="A9" s="7" t="s">
        <v>64</v>
      </c>
      <c r="B9" s="25">
        <f>AVERAGEIF(User_Responses!$A$2:$A$76, A9, User_Responses!$D$2:$D$76)</f>
        <v>0.85</v>
      </c>
      <c r="C9" s="18">
        <v>1</v>
      </c>
      <c r="D9" s="26">
        <f t="shared" si="0"/>
        <v>0.85</v>
      </c>
    </row>
    <row r="10" spans="1:4" ht="18" x14ac:dyDescent="0.35">
      <c r="A10" s="3" t="s">
        <v>70</v>
      </c>
      <c r="B10" s="25">
        <f>AVERAGEIF(User_Responses!$A$2:$A$76, A10, User_Responses!$D$2:$D$76)</f>
        <v>0.9</v>
      </c>
      <c r="C10" s="18">
        <v>1</v>
      </c>
      <c r="D10" s="26">
        <f t="shared" si="0"/>
        <v>0.9</v>
      </c>
    </row>
    <row r="11" spans="1:4" ht="18" x14ac:dyDescent="0.35">
      <c r="A11" s="3" t="s">
        <v>76</v>
      </c>
      <c r="B11" s="25">
        <f>AVERAGEIF(User_Responses!$A$2:$A$76, A11, User_Responses!$D$2:$D$76)</f>
        <v>0.4</v>
      </c>
      <c r="C11" s="18">
        <v>1</v>
      </c>
      <c r="D11" s="26">
        <f t="shared" si="0"/>
        <v>0.4</v>
      </c>
    </row>
    <row r="12" spans="1:4" ht="18" x14ac:dyDescent="0.35">
      <c r="A12" s="7" t="s">
        <v>82</v>
      </c>
      <c r="B12" s="25">
        <f>AVERAGEIF(User_Responses!$A$2:$A$76, A12, User_Responses!$D$2:$D$76)</f>
        <v>0.7</v>
      </c>
      <c r="C12" s="18">
        <v>1</v>
      </c>
      <c r="D12" s="26">
        <f t="shared" si="0"/>
        <v>0.7</v>
      </c>
    </row>
    <row r="13" spans="1:4" ht="18" x14ac:dyDescent="0.35">
      <c r="A13" s="7" t="s">
        <v>88</v>
      </c>
      <c r="B13" s="25">
        <f>AVERAGEIF(User_Responses!$A$2:$A$76, A13, User_Responses!$D$2:$D$76)</f>
        <v>0.75</v>
      </c>
      <c r="C13" s="18">
        <v>3</v>
      </c>
      <c r="D13" s="26">
        <f t="shared" si="0"/>
        <v>2.25</v>
      </c>
    </row>
    <row r="14" spans="1:4" ht="18" x14ac:dyDescent="0.35">
      <c r="A14" s="7" t="s">
        <v>94</v>
      </c>
      <c r="B14" s="25">
        <f>AVERAGEIF(User_Responses!$A$2:$A$76, A14, User_Responses!$D$2:$D$76)</f>
        <v>0.7</v>
      </c>
      <c r="C14" s="18">
        <v>2</v>
      </c>
      <c r="D14" s="26">
        <f t="shared" si="0"/>
        <v>1.4</v>
      </c>
    </row>
    <row r="15" spans="1:4" ht="18" x14ac:dyDescent="0.35">
      <c r="A15" s="7" t="s">
        <v>100</v>
      </c>
      <c r="B15" s="25">
        <f>AVERAGEIF(User_Responses!$A$2:$A$76, A15, User_Responses!$D$2:$D$76)</f>
        <v>0.7</v>
      </c>
      <c r="C15" s="18">
        <v>2</v>
      </c>
      <c r="D15" s="26">
        <f t="shared" si="0"/>
        <v>1.4</v>
      </c>
    </row>
    <row r="18" spans="2:4" ht="18" x14ac:dyDescent="0.35">
      <c r="B18" s="14" t="s">
        <v>11</v>
      </c>
      <c r="C18" s="28">
        <f>SUM(D2:D15)/SUM(C2:C15)</f>
        <v>0.79137931034482734</v>
      </c>
    </row>
    <row r="20" spans="2:4" ht="54" x14ac:dyDescent="0.35">
      <c r="B20" s="14" t="s">
        <v>121</v>
      </c>
      <c r="C20" s="29" t="str">
        <f>IF(C18&lt;=40%, "🟢 High Audit Readiness (Clean Report Forecast)", IF(C18&lt;=60%, "🟡 Moderate Readiness (Minor Exceptions Likely)", IF(C18&lt;=80%, "🟠 Low Readiness (Audit Failure / Non-Conformity Risk)", "🔴 Unprepared (Widespread Exceptions Guaranteed)")))</f>
        <v>🟠 Low Readiness (Audit Failure / Non-Conformity Risk)</v>
      </c>
    </row>
    <row r="23" spans="2:4" x14ac:dyDescent="0.3">
      <c r="B23" s="16" t="s">
        <v>12</v>
      </c>
      <c r="C23" t="s">
        <v>15</v>
      </c>
      <c r="D23" t="s">
        <v>14</v>
      </c>
    </row>
    <row r="24" spans="2:4" x14ac:dyDescent="0.3">
      <c r="B24" s="17" t="s">
        <v>16</v>
      </c>
      <c r="C24" s="13">
        <v>3</v>
      </c>
      <c r="D24" s="15">
        <v>2.0999999999999996</v>
      </c>
    </row>
    <row r="25" spans="2:4" x14ac:dyDescent="0.3">
      <c r="B25" s="17" t="s">
        <v>22</v>
      </c>
      <c r="C25" s="13">
        <v>3</v>
      </c>
      <c r="D25" s="15">
        <v>1.6500000000000001</v>
      </c>
    </row>
    <row r="26" spans="2:4" x14ac:dyDescent="0.3">
      <c r="B26" s="17" t="s">
        <v>100</v>
      </c>
      <c r="C26" s="13">
        <v>2</v>
      </c>
      <c r="D26" s="15">
        <v>1.2</v>
      </c>
    </row>
    <row r="27" spans="2:4" x14ac:dyDescent="0.3">
      <c r="B27" s="17" t="s">
        <v>40</v>
      </c>
      <c r="C27" s="13">
        <v>2</v>
      </c>
      <c r="D27" s="15">
        <v>0.9</v>
      </c>
    </row>
    <row r="28" spans="2:4" x14ac:dyDescent="0.3">
      <c r="B28" s="17" t="s">
        <v>94</v>
      </c>
      <c r="C28" s="13">
        <v>2</v>
      </c>
      <c r="D28" s="15">
        <v>1.2</v>
      </c>
    </row>
    <row r="29" spans="2:4" x14ac:dyDescent="0.3">
      <c r="B29" s="17" t="s">
        <v>58</v>
      </c>
      <c r="C29" s="13">
        <v>2</v>
      </c>
      <c r="D29" s="15">
        <v>1.1000000000000001</v>
      </c>
    </row>
    <row r="30" spans="2:4" x14ac:dyDescent="0.3">
      <c r="B30" s="17" t="s">
        <v>70</v>
      </c>
      <c r="C30" s="13">
        <v>1</v>
      </c>
      <c r="D30" s="15">
        <v>0.8</v>
      </c>
    </row>
    <row r="31" spans="2:4" x14ac:dyDescent="0.3">
      <c r="B31" s="17" t="s">
        <v>64</v>
      </c>
      <c r="C31" s="13">
        <v>1</v>
      </c>
      <c r="D31" s="15">
        <v>0.7</v>
      </c>
    </row>
    <row r="32" spans="2:4" x14ac:dyDescent="0.3">
      <c r="B32" s="17" t="s">
        <v>52</v>
      </c>
      <c r="C32" s="13">
        <v>2</v>
      </c>
      <c r="D32" s="15">
        <v>1.1000000000000001</v>
      </c>
    </row>
    <row r="33" spans="1:4" x14ac:dyDescent="0.3">
      <c r="B33" s="17" t="s">
        <v>28</v>
      </c>
      <c r="C33" s="13">
        <v>3</v>
      </c>
      <c r="D33" s="15">
        <v>2.0999999999999996</v>
      </c>
    </row>
    <row r="34" spans="1:4" x14ac:dyDescent="0.3">
      <c r="B34" s="17" t="s">
        <v>82</v>
      </c>
      <c r="C34" s="13">
        <v>1</v>
      </c>
      <c r="D34" s="15">
        <v>0.7</v>
      </c>
    </row>
    <row r="35" spans="1:4" x14ac:dyDescent="0.3">
      <c r="B35" s="17" t="s">
        <v>88</v>
      </c>
      <c r="C35" s="13">
        <v>3</v>
      </c>
      <c r="D35" s="15">
        <v>2.4000000000000004</v>
      </c>
    </row>
    <row r="36" spans="1:4" x14ac:dyDescent="0.3">
      <c r="B36" s="17" t="s">
        <v>34</v>
      </c>
      <c r="C36" s="13">
        <v>3</v>
      </c>
      <c r="D36" s="15">
        <v>2.4000000000000004</v>
      </c>
    </row>
    <row r="37" spans="1:4" x14ac:dyDescent="0.3">
      <c r="B37" s="17" t="s">
        <v>76</v>
      </c>
      <c r="C37" s="13">
        <v>1</v>
      </c>
      <c r="D37" s="15">
        <v>0.45</v>
      </c>
    </row>
    <row r="38" spans="1:4" x14ac:dyDescent="0.3">
      <c r="B38" s="17" t="s">
        <v>13</v>
      </c>
      <c r="C38" s="13">
        <v>29</v>
      </c>
      <c r="D38" s="15">
        <v>18.8</v>
      </c>
    </row>
    <row r="41" spans="1:4" ht="42" customHeight="1" x14ac:dyDescent="0.35">
      <c r="A41" s="14" t="s">
        <v>122</v>
      </c>
    </row>
  </sheetData>
  <sheetProtection algorithmName="SHA-512" hashValue="0A+ss9WtuCIGH08sx/ennqVA0I88Q8398/WXq5/763t7PBf55flg6ZPQ2LRqrCHzs6Yw3x3OPd1UWIDWDYNa0Q==" saltValue="qjl/m1LnT9ObW3DaHC9mog==" spinCount="100000" sheet="1" objects="1" scenarios="1"/>
  <dataValidations count="1">
    <dataValidation type="list" allowBlank="1" showInputMessage="1" showErrorMessage="1" promptTitle="Select Weight" prompt="Select 1 from (1,2,3,4)" sqref="C2:C15" xr:uid="{C7585D9D-7E7D-4094-AB10-9345EED1BEEF}">
      <formula1>"1,2,3"</formula1>
    </dataValidation>
  </dataValidation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C7"/>
  <sheetViews>
    <sheetView workbookViewId="0">
      <selection activeCell="A7" sqref="A7"/>
    </sheetView>
  </sheetViews>
  <sheetFormatPr defaultRowHeight="14.4" x14ac:dyDescent="0.3"/>
  <cols>
    <col min="1" max="1" width="91.21875" customWidth="1"/>
    <col min="2" max="2" width="47.6640625" customWidth="1"/>
    <col min="3" max="3" width="58.77734375" customWidth="1"/>
  </cols>
  <sheetData>
    <row r="1" spans="1:3" ht="26.4" customHeight="1" thickBot="1" x14ac:dyDescent="0.4">
      <c r="A1" s="23" t="s">
        <v>106</v>
      </c>
      <c r="B1" s="23" t="s">
        <v>107</v>
      </c>
      <c r="C1" s="23" t="s">
        <v>108</v>
      </c>
    </row>
    <row r="2" spans="1:3" ht="64.8" customHeight="1" x14ac:dyDescent="0.3">
      <c r="A2" s="9" t="s">
        <v>111</v>
      </c>
      <c r="B2" s="19" t="s">
        <v>109</v>
      </c>
      <c r="C2" s="19" t="s">
        <v>110</v>
      </c>
    </row>
    <row r="3" spans="1:3" ht="78" customHeight="1" x14ac:dyDescent="0.3">
      <c r="A3" s="20" t="s">
        <v>114</v>
      </c>
      <c r="B3" s="19" t="s">
        <v>112</v>
      </c>
      <c r="C3" s="19" t="s">
        <v>113</v>
      </c>
    </row>
    <row r="4" spans="1:3" ht="102" customHeight="1" x14ac:dyDescent="0.3">
      <c r="A4" s="10" t="s">
        <v>117</v>
      </c>
      <c r="B4" s="19" t="s">
        <v>115</v>
      </c>
      <c r="C4" s="19" t="s">
        <v>116</v>
      </c>
    </row>
    <row r="5" spans="1:3" ht="52.8" x14ac:dyDescent="0.3">
      <c r="A5" s="22" t="s">
        <v>120</v>
      </c>
      <c r="B5" s="19" t="s">
        <v>118</v>
      </c>
      <c r="C5" s="21" t="s">
        <v>119</v>
      </c>
    </row>
    <row r="7" spans="1:3" ht="15.6" x14ac:dyDescent="0.3">
      <c r="A7" s="30" t="s">
        <v>122</v>
      </c>
    </row>
  </sheetData>
  <sheetProtection algorithmName="SHA-512" hashValue="xVwetFOl4mWMEU8TzxvIVK4rmfSrfXmwLNsxMqBl8QrITZI5B9RMH/zcy/0wLXcOKfmkF0hKl9wc0uFaDSUviw==" saltValue="NEccmj7mCe/54ChZaHytHw=="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User_Responses</vt:lpstr>
      <vt:lpstr>Results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2026-10-24T13:49:59Z</dcterms:modified>
</cp:coreProperties>
</file>