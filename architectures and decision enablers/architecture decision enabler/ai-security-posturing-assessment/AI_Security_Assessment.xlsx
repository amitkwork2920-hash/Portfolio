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Amit\eBooks\Interview Quick Rampup\Fractional Architect Consulting &amp; Freelancing\UPWORK &amp; TOPMATE FILES AND PRODUCTS\AI_SECURITY_ASSESSMENT\"/>
    </mc:Choice>
  </mc:AlternateContent>
  <xr:revisionPtr revIDLastSave="0" documentId="13_ncr:1_{B9B89FA2-B49B-4DF1-B08D-EBEC5A30DC96}" xr6:coauthVersionLast="47" xr6:coauthVersionMax="47" xr10:uidLastSave="{00000000-0000-0000-0000-000000000000}"/>
  <bookViews>
    <workbookView xWindow="-108" yWindow="-108" windowWidth="23256" windowHeight="12456" activeTab="2" xr2:uid="{D62D5DFD-F87A-4D1C-B4C2-9718B4BFE1A3}"/>
  </bookViews>
  <sheets>
    <sheet name="Inputs" sheetId="1" r:id="rId1"/>
    <sheet name="Dashboards" sheetId="3" r:id="rId2"/>
    <sheet name="Results Interpretation" sheetId="2"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3" i="1" l="1" a="1"/>
  <c r="D74" i="1" a="1"/>
  <c r="D75" i="1" a="1"/>
  <c r="B5" i="3"/>
  <c r="B6" i="3"/>
  <c r="B7" i="3"/>
  <c r="B8" i="3"/>
  <c r="B9" i="3"/>
  <c r="B10" i="3"/>
  <c r="B11" i="3"/>
  <c r="B12" i="3"/>
  <c r="D3" i="1" a="1"/>
  <c r="D4" i="1" a="1"/>
  <c r="D5" i="1" a="1"/>
  <c r="D6" i="1" a="1"/>
  <c r="D7" i="1" a="1"/>
  <c r="D8" i="1" a="1"/>
  <c r="D9" i="1" a="1"/>
  <c r="D10" i="1" a="1"/>
  <c r="D11" i="1" a="1"/>
  <c r="D12" i="1" a="1"/>
  <c r="D13" i="1" a="1"/>
  <c r="D14" i="1" a="1"/>
  <c r="D15" i="1" a="1"/>
  <c r="D16" i="1" a="1"/>
  <c r="B4" i="3" s="1"/>
  <c r="D17" i="1" a="1"/>
  <c r="D18" i="1" a="1"/>
  <c r="D19" i="1" a="1"/>
  <c r="D20" i="1" a="1"/>
  <c r="D21" i="1" a="1"/>
  <c r="D22" i="1" a="1"/>
  <c r="D23" i="1" a="1"/>
  <c r="D24" i="1" a="1"/>
  <c r="D25" i="1" a="1"/>
  <c r="D26" i="1" a="1"/>
  <c r="D27" i="1" a="1"/>
  <c r="D28" i="1" a="1"/>
  <c r="D29" i="1" a="1"/>
  <c r="D30" i="1" a="1"/>
  <c r="D31" i="1" a="1"/>
  <c r="D32" i="1" a="1"/>
  <c r="D33" i="1" a="1"/>
  <c r="D34" i="1" a="1"/>
  <c r="D35" i="1" a="1"/>
  <c r="D36" i="1" a="1"/>
  <c r="D37" i="1" a="1"/>
  <c r="D38" i="1" a="1"/>
  <c r="D39" i="1" a="1"/>
  <c r="D40" i="1" a="1"/>
  <c r="D41" i="1" a="1"/>
  <c r="D42" i="1" a="1"/>
  <c r="D43" i="1" a="1"/>
  <c r="D44" i="1" a="1"/>
  <c r="D45" i="1" a="1"/>
  <c r="D46" i="1" a="1"/>
  <c r="D47" i="1" a="1"/>
  <c r="D48" i="1" a="1"/>
  <c r="D49" i="1" a="1"/>
  <c r="D50" i="1" a="1"/>
  <c r="D51" i="1" a="1"/>
  <c r="D52" i="1" a="1"/>
  <c r="D53" i="1" a="1"/>
  <c r="D54" i="1" a="1"/>
  <c r="D55" i="1" a="1"/>
  <c r="D56" i="1" a="1"/>
  <c r="D57" i="1" a="1"/>
  <c r="B13" i="3" s="1"/>
  <c r="D13" i="3" s="1"/>
  <c r="D58" i="1" a="1"/>
  <c r="D59" i="1" a="1"/>
  <c r="D60" i="1" a="1"/>
  <c r="D61" i="1" a="1"/>
  <c r="D62" i="1" a="1"/>
  <c r="D63" i="1" a="1"/>
  <c r="D64" i="1" a="1"/>
  <c r="D65" i="1" a="1"/>
  <c r="D66" i="1" a="1"/>
  <c r="D67" i="1" a="1"/>
  <c r="D68" i="1" a="1"/>
  <c r="D69" i="1" a="1"/>
  <c r="D70" i="1" a="1"/>
  <c r="B15" i="3" s="1"/>
  <c r="D15" i="3" s="1"/>
  <c r="D71" i="1" a="1"/>
  <c r="B16" i="3" s="1"/>
  <c r="D16" i="3" s="1"/>
  <c r="D72" i="1" a="1"/>
  <c r="D2" i="1" a="1"/>
  <c r="B14" i="3" l="1"/>
  <c r="D14" i="3" s="1"/>
  <c r="B3" i="3"/>
  <c r="D3" i="3" s="1"/>
  <c r="D5" i="3"/>
  <c r="D12" i="3"/>
  <c r="D11" i="3"/>
  <c r="D10" i="3"/>
  <c r="D9" i="3"/>
  <c r="D8" i="3"/>
  <c r="D7" i="3"/>
  <c r="D6" i="3"/>
  <c r="D4" i="3"/>
  <c r="B2" i="3"/>
  <c r="D2" i="3" s="1"/>
  <c r="C20" i="3" l="1"/>
  <c r="C2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<sst xmlns="http://schemas.openxmlformats.org/spreadsheetml/2006/main" count="284" uniqueCount="123">
  <si>
    <t>Category</t>
  </si>
  <si>
    <t>Client-Specific Question</t>
  </si>
  <si>
    <t>User Priority</t>
  </si>
  <si>
    <t>User Score</t>
  </si>
  <si>
    <t>B</t>
  </si>
  <si>
    <t>C</t>
  </si>
  <si>
    <t>A</t>
  </si>
  <si>
    <t>D</t>
  </si>
  <si>
    <t>Category Score Formula</t>
  </si>
  <si>
    <t>Weight Multipliers</t>
  </si>
  <si>
    <t>Weighted Scores</t>
  </si>
  <si>
    <t>Global Weighted Score</t>
  </si>
  <si>
    <t>Row Labels</t>
  </si>
  <si>
    <t>Grand Total</t>
  </si>
  <si>
    <t>Sum of Weighted Scores</t>
  </si>
  <si>
    <t>Sum of Weight Multipliers</t>
  </si>
  <si>
    <t>Prompt Injection Defenses</t>
  </si>
  <si>
    <r>
      <rPr>
        <u/>
        <sz val="12"/>
        <color theme="1"/>
        <rFont val="Calibri"/>
        <family val="2"/>
        <scheme val="minor"/>
      </rPr>
      <t>Direct Prompt Injection Filtering</t>
    </r>
    <r>
      <rPr>
        <sz val="12"/>
        <color theme="1"/>
        <rFont val="Calibri"/>
        <family val="2"/>
        <scheme val="minor"/>
      </rPr>
      <t xml:space="preserve">
A) Dual-LLM guardrail systems inspect all user inputs using specific adversarial classification models before routing.
B) Input text passes through standard regex structures and semantic vector checks, catching basic jailbreak strings.
C) Filtering relies on basic system prompt instructions (e.g., "Do not bypass rules"), leaving inputs unvalidated.
D) User inputs pass directly to the LLM context window without screening, exposing the model to jailbreaks.</t>
    </r>
  </si>
  <si>
    <r>
      <rPr>
        <u/>
        <sz val="12"/>
        <color theme="1"/>
        <rFont val="Calibri"/>
        <family val="2"/>
        <scheme val="minor"/>
      </rPr>
      <t>Indirect Prompt Injection Isolation</t>
    </r>
    <r>
      <rPr>
        <sz val="12"/>
        <color theme="1"/>
        <rFont val="Calibri"/>
        <family val="2"/>
        <scheme val="minor"/>
      </rPr>
      <t xml:space="preserve">
A) External data (e.g., web pages, uploaded files) is treated as unvetted text and isolated from the main system context.
B) Untrusted text passes through structural parsers, but shares the same system privilege tier as the user session.
C) External data pulls merge directly into user prompt fields, relying entirely on the base model to ignore rogue instructions.
D) The model fetches untrusted external data sources and processes them natively without safety controls</t>
    </r>
  </si>
  <si>
    <r>
      <rPr>
        <u/>
        <sz val="12"/>
        <color theme="1"/>
        <rFont val="Calibri"/>
        <family val="2"/>
        <scheme val="minor"/>
      </rPr>
      <t>System Prompt Confidentiality</t>
    </r>
    <r>
      <rPr>
        <sz val="12"/>
        <color theme="1"/>
        <rFont val="Calibri"/>
        <family val="2"/>
        <scheme val="minor"/>
      </rPr>
      <t xml:space="preserve">
A) System prompts use dynamic context structures and token-level access blocks to prevent system prompt leakage.
B) The prompt contains text warnings against disclosure, and outbound filters catch explicit leaking keywords.
C) System instructions are static text properties within code, relying on the model's base alignment for safety.
D) Prompts lack disclosure protection, allowing users to extract full system instructions with basic queries</t>
    </r>
  </si>
  <si>
    <r>
      <rPr>
        <u/>
        <sz val="12"/>
        <color theme="1"/>
        <rFont val="Calibri"/>
        <family val="2"/>
        <scheme val="minor"/>
      </rPr>
      <t>Context Window Memory Flushing</t>
    </r>
    <r>
      <rPr>
        <sz val="12"/>
        <color theme="1"/>
        <rFont val="Calibri"/>
        <family val="2"/>
        <scheme val="minor"/>
      </rPr>
      <t xml:space="preserve">
A) Chat history sessions drop system-level prompt states automatically after exactly 5 minutes of inactivity.
B) Context history sessions expire after 30 minutes, but cleartext cache properties remain active in volatile memory.
C) Chat histories are stored indefinitely, allowing historical manipulation attempts to influence active sessions.
D) Session history lacks timeout parameters, allowing long-running prompt tracking exploits to persist.</t>
    </r>
  </si>
  <si>
    <r>
      <rPr>
        <u/>
        <sz val="12"/>
        <color theme="1"/>
        <rFont val="Calibri"/>
        <family val="2"/>
        <scheme val="minor"/>
      </rPr>
      <t>Adversarial Token Disruption</t>
    </r>
    <r>
      <rPr>
        <sz val="12"/>
        <color theme="1"/>
        <rFont val="Calibri"/>
        <family val="2"/>
        <scheme val="minor"/>
      </rPr>
      <t xml:space="preserve">
A) Tokenization layers actively block special system tokens (e.g., &lt;|endoftext|&gt;) to prevent structural bypasses.
B) Security layers flag unusual token frequencies, but lack programmatic blocks to drop malformed structures.
C) Tokens undergo standard baseline parsing without security reviews for specialized adversarial formatting.
D) Token inputs pass directly to the neural engine, permitting structural bypass attacks via specialized token formats. </t>
    </r>
  </si>
  <si>
    <t>Insecure Output Handling</t>
  </si>
  <si>
    <r>
      <t xml:space="preserve">Downstream Execution Escaping
</t>
    </r>
    <r>
      <rPr>
        <sz val="12"/>
        <color theme="1"/>
        <rFont val="Calibri"/>
        <family val="2"/>
        <scheme val="minor"/>
      </rPr>
      <t>A) Privilege escalation uses automated Just-In-Time (JIT) workflows that clear all elevated permissions within 1 hour.
B) Elevated access follows manual engineering request sign-offs, remaining active for a full business day.
C) High-level permissions reside permanently on standard user profiles, relying on verbal policy to prevent abuse.
D) Shared administrator keys are stored on unprotected systems with zero isolation parameters.</t>
    </r>
  </si>
  <si>
    <r>
      <t xml:space="preserve">Structured Output Type Constraints
</t>
    </r>
    <r>
      <rPr>
        <sz val="12"/>
        <color theme="1"/>
        <rFont val="Calibri"/>
        <family val="2"/>
        <scheme val="minor"/>
      </rPr>
      <t>A) Applications enforce strict JSON schemas or Pydantic validation on all responses before processing down-stream.
B) Code functions check response data types, but lack rigorous validation structures to catch malicious schema drift.
C) Outputs are parsed via loose try-except loops, handling processing errors without checking response content values.
D) Downstream code processes raw model strings directly, exposing internal infrastructure to injection attacks.</t>
    </r>
  </si>
  <si>
    <r>
      <t xml:space="preserve">Indirect Command Injection Defenses
</t>
    </r>
    <r>
      <rPr>
        <sz val="12"/>
        <color theme="1"/>
        <rFont val="Calibri"/>
        <family val="2"/>
        <scheme val="minor"/>
      </rPr>
      <t xml:space="preserve">A) Model-generated code or commands run exclusively within short-lived, isolated serverless sandbox environments.
B) Generated instructions run on standard environments, but require administrative tokens before execution.
C) Instructions run with full user account privileges, relying entirely on code review processes to catch errors.
D) LLM responses flow directly into system shells (e.g., eval()), allowing arbitrary remote code execution. </t>
    </r>
  </si>
  <si>
    <r>
      <t xml:space="preserve">Content Security Policy (CSP) Alignment
</t>
    </r>
    <r>
      <rPr>
        <sz val="12"/>
        <color theme="1"/>
        <rFont val="Calibri"/>
        <family val="2"/>
        <scheme val="minor"/>
      </rPr>
      <t>A) Strict CSP definitions block data exfiltration by restricting model outputs from calling unapproved web domains.
B) CSP parameters are active, but use broad whitelists that allow data transfers to generic cloud endpoints.
C) Domain constraints use legacy parameters that are rarely updated or checked by security teams.
D) Applications run without CSP protections, allowing model-inserted scripts to leak data to external hosts.</t>
    </r>
  </si>
  <si>
    <r>
      <t xml:space="preserve">Output Hallucination Content Filtering
</t>
    </r>
    <r>
      <rPr>
        <sz val="12"/>
        <color theme="1"/>
        <rFont val="Calibri"/>
        <family val="2"/>
        <scheme val="minor"/>
      </rPr>
      <t>A) Fact-checking engines compare model responses against verified databases, dropping unaligned outputs instantly.
B) Filters look for specific banned phrases or keywords, but lack semantic checking to identify logical errors.
C) Evaluation relies on out-of-the-box model parameters (e.g., lowering temperature) without external validation checks.
D) Outputs flow directly to end users without validation, exposing operations to hallucinated content risks.</t>
    </r>
  </si>
  <si>
    <t>Training Data Privacy &amp; PII Leakage</t>
  </si>
  <si>
    <r>
      <t xml:space="preserve">Fine-Tuning PII Redaction
</t>
    </r>
    <r>
      <rPr>
        <b/>
        <u/>
        <sz val="12"/>
        <color theme="1"/>
        <rFont val="Calibri"/>
        <family val="2"/>
        <scheme val="minor"/>
      </rPr>
      <t xml:space="preserve">
</t>
    </r>
    <r>
      <rPr>
        <sz val="12"/>
        <color theme="1"/>
        <rFont val="Calibri"/>
        <family val="2"/>
        <scheme val="minor"/>
      </rPr>
      <t>A) Automated pipelines sanitize fine-tuning data, using cryptographic tokens to replace sensitive PII fields.
B) Data preparation strips clear text fields manually, but lacks validation to catch nested or indirect PII vectors.
C) Datasets rely on general corporate filtering policies without specific tuning for LLM memorization risks.
D) Fine-tuning processes ingest raw corporate data directly, allowing the model to memorize sensitive information.</t>
    </r>
  </si>
  <si>
    <r>
      <t xml:space="preserve">Retrieval-Augmented Generation (RAG) Scoping
</t>
    </r>
    <r>
      <rPr>
        <sz val="12"/>
        <color theme="1"/>
        <rFont val="Calibri"/>
        <family val="2"/>
        <scheme val="minor"/>
      </rPr>
      <t xml:space="preserve">
A) RAG search queries check user authorization parameters dynamically before retrieving vector database entries.
B) Vector storage limits access by department, but lacks granular file-level validation checks.
C) Vector searches match query text directly, allowing access to any indexed data within the shared workspace.
D) The RAG engine accesses all internal data stores globally, exposing sensitive records across user profiles.</t>
    </r>
  </si>
  <si>
    <r>
      <t xml:space="preserve">Dynamic Output Scrubbing
</t>
    </r>
    <r>
      <rPr>
        <sz val="12"/>
        <color theme="1"/>
        <rFont val="Calibri"/>
        <family val="2"/>
        <scheme val="minor"/>
      </rPr>
      <t xml:space="preserve">
A) An independent outbound scanner checks all LLM responses, stripping credit card, SSN, or key strings in real-time.
B) Basic rule filters identify structured numbers, but fail to flag unformatted sensitive text blocks.
C) Outbound evaluation depends on model prompt guidance (e.g., "Do not share passwords"), which is easily bypassed.
D) Responses reach users without content checks, creating high risks of accidental data leakage.</t>
    </r>
  </si>
  <si>
    <r>
      <t xml:space="preserve">Anonymization Reversibility Constraints
</t>
    </r>
    <r>
      <rPr>
        <b/>
        <u/>
        <sz val="12"/>
        <color theme="1"/>
        <rFont val="Calibri"/>
        <family val="2"/>
        <scheme val="minor"/>
      </rPr>
      <t xml:space="preserve">
</t>
    </r>
    <r>
      <rPr>
        <sz val="12"/>
        <color theme="1"/>
        <rFont val="Calibri"/>
        <family val="2"/>
        <scheme val="minor"/>
      </rPr>
      <t>A) PII tokens use one-way cryptographic hashes; decryption keys do not exist within the application runtime layer.
B) Anonymization uses reversible mapping tables, which are saved securely but lack strict access monitoring.
C) De-identification replaces names with generic words, which can be reversed using context clue matching.
D) System pipelines use cleartext substitution keys, allowing easy decryption of sensitive fields.</t>
    </r>
  </si>
  <si>
    <r>
      <t xml:space="preserve">User Prompt Data Retention Polices
</t>
    </r>
    <r>
      <rPr>
        <b/>
        <u/>
        <sz val="12"/>
        <color theme="1"/>
        <rFont val="Calibri"/>
        <family val="2"/>
        <scheme val="minor"/>
      </rPr>
      <t xml:space="preserve">
</t>
    </r>
    <r>
      <rPr>
        <sz val="12"/>
        <color theme="1"/>
        <rFont val="Calibri"/>
        <family val="2"/>
        <scheme val="minor"/>
      </rPr>
      <t>A) User prompts are completely scrubbed from storage after processing, using zero-data-retention APIs exclusively.
B) Prompts are stored for 30 days to facilitate troubleshooting, but access requires multi-factor authorization tokens.
C) Prompt histories are saved inside internal file directories that use permissive file system access controls.
D) Incoming prompts are saved indefinitely in cleartext logs, where they are visible to any developer profile.</t>
    </r>
  </si>
  <si>
    <t>Excessive Agency &amp; Authorization Guardrails</t>
  </si>
  <si>
    <r>
      <t xml:space="preserve">Downstream Function Scope Limits
</t>
    </r>
    <r>
      <rPr>
        <sz val="12"/>
        <color theme="1"/>
        <rFont val="Calibri"/>
        <family val="2"/>
        <scheme val="minor"/>
      </rPr>
      <t>A) Tool calling configurations limit functions to micro-scoped tasks with zero path-traversal rights.
B) Functions target scoped internal endpoints, but permissions allow wide read access within the resource tier.
C) Tools use shared system admin credentials, relying entirely on the model to select correct task scopes.
D) LLMs possess direct command execution privileges, allowing the model to modify system environments.</t>
    </r>
  </si>
  <si>
    <r>
      <t xml:space="preserve">Human-in-the-Loop Validation
</t>
    </r>
    <r>
      <rPr>
        <sz val="12"/>
        <color theme="1"/>
        <rFont val="Calibri"/>
        <family val="2"/>
        <scheme val="minor"/>
      </rPr>
      <t>A) High-impact actions (e.g., sending emails, deleting files) remain blocked until a human approves the transaction.
B) Modifications trigger automated notification alerts, but do not stop execution before manual review steps.
C) Systems request user confirmation inside chat inputs, which is vulnerable to prompt-injection bypasses.
D) The AI agent processes high-impact actions automatically without verification gates or human sign-off.</t>
    </r>
  </si>
  <si>
    <r>
      <t xml:space="preserve">Plugin Ingress Variable Validation
</t>
    </r>
    <r>
      <rPr>
        <sz val="12"/>
        <color theme="1"/>
        <rFont val="Calibri"/>
        <family val="2"/>
        <scheme val="minor"/>
      </rPr>
      <t>A) Intermediary controllers validate model-generated function inputs against type schemas before execution.
B) Functions process variables using simple code constraints, but miss edge-case or long string validations.
C) Execution paths check simple format errors, but skip verification of input variable values.
D) Plugins process model-generated variables directly, exposing downstream code to command injection exploits.</t>
    </r>
  </si>
  <si>
    <r>
      <t xml:space="preserve">Agent Execution Identity Isolation
</t>
    </r>
    <r>
      <rPr>
        <sz val="12"/>
        <color theme="1"/>
        <rFont val="Calibri"/>
        <family val="2"/>
        <scheme val="minor"/>
      </rPr>
      <t>A) AI agents execute tasks using individual, short-lived user tokens that mimic the current active user's permissions.
B) Tasks run via a shared workspace account that has broad permissions across target infrastructure zones.
C) Execution profiles escalate to root roles temporarily, relying on standard software logs for tracking.
D) Every agent interaction executes using global administrative root permissions, breaking system containment.</t>
    </r>
  </si>
  <si>
    <r>
      <t xml:space="preserve">State Machine State-Change Constraints
</t>
    </r>
    <r>
      <rPr>
        <sz val="12"/>
        <color theme="1"/>
        <rFont val="Calibri"/>
        <family val="2"/>
        <scheme val="minor"/>
      </rPr>
      <t>A) Agent workflow states are locked to pre-defined paths; unapproved state transitions trigger immediate session termination.
B) Workflows use logical routing blocks, but developers can bypass constraints during testing phases.
C) State transitions depend on model reasoning flags, which can be modified via prompt injection attacks.
D) Agent state engines run without transaction constraints, allowing arbitrary workflow manipulation.</t>
    </r>
  </si>
  <si>
    <t xml:space="preserve">Model Data Poisoning &amp; Supply Chain </t>
  </si>
  <si>
    <t>Model Data Poisoning &amp; Supply Chain</t>
  </si>
  <si>
    <r>
      <t xml:space="preserve">Fine-Tuning Source Lineage Verification
</t>
    </r>
    <r>
      <rPr>
        <sz val="12"/>
        <color theme="1"/>
        <rFont val="Calibri"/>
        <family val="2"/>
        <scheme val="minor"/>
      </rPr>
      <t xml:space="preserve">
A) Training and fine-tuning pipelines require cryptographic checksum verification and data-lineage signing for all ingested datasets.
B) Data sources are documented internally, but validation relies on periodic manual sampling rather than cryptographic tracking.
C) Data is pulled from external repositories based on loose naming conventions, without active origin verification.
D) Fine-tuning processes ingest crowdsourced or open web data directly without sanitization, filtering, or origin tracking.</t>
    </r>
  </si>
  <si>
    <r>
      <t xml:space="preserve">Upstream Base Model Signature Validation
</t>
    </r>
    <r>
      <rPr>
        <sz val="12"/>
        <color theme="1"/>
        <rFont val="Calibri"/>
        <family val="2"/>
        <scheme val="minor"/>
      </rPr>
      <t xml:space="preserve">
A) Automated orchestrators explicitly verify the cryptographic SHA-256 signature of base models against vendor registries before mounting.
B) Models are pulled from verified enterprise accounts on repositories like Hugging Face, but signatures are not checked automatically at runtime.
C) Base models are downloaded manually by developers and stored on shared network drives without version control or integrity checks.
D) Runtime systems load unvetted, unsigned third-party models directly from public model hubs without testing for embedded backdoors.</t>
    </r>
  </si>
  <si>
    <r>
      <t xml:space="preserve">Training Scraping Pipeline Isolation
</t>
    </r>
    <r>
      <rPr>
        <sz val="12"/>
        <color theme="1"/>
        <rFont val="Calibri"/>
        <family val="2"/>
        <scheme val="minor"/>
      </rPr>
      <t xml:space="preserve">
A) Scraping nodes run in fully sandboxed, non-routable enclaves with automated content scrubbing to strip hidden payloads.
B) Data scraping uses separate network zones, but lacks behavioral tools to detect hidden adversarial text patterns.
C) Data collection scripts run on standard corporate networks, relying entirely on basic perimeter firewalls for safety.
D) Ingestion workers pull live web data directly into core training clusters without isolation, firewalls, or scrubbing.</t>
    </r>
  </si>
  <si>
    <r>
      <t xml:space="preserve">Third-Party Dataset Vulnerability Scanning
</t>
    </r>
    <r>
      <rPr>
        <sz val="12"/>
        <color theme="1"/>
        <rFont val="Calibri"/>
        <family val="2"/>
        <scheme val="minor"/>
      </rPr>
      <t xml:space="preserve">
A)  Automated static and dynamic tools scan all incoming datasets to identify and drop obfuscated prompt scripts or malware text.
B) Datasets undergo signature-based malware scanning, but lack specialized analysis for adversarial linguistic patterns.
C) Vulnerability evaluation is performed manually by data science teams on an ad-hoc basis before training cycles.
D) External datasets are loaded directly into neural networks without any security testing, scanning, or content reviews.</t>
    </r>
  </si>
  <si>
    <r>
      <t xml:space="preserve">Base Model Marketplace Licensing Verification
</t>
    </r>
    <r>
      <rPr>
        <sz val="12"/>
        <color theme="1"/>
        <rFont val="Calibri"/>
        <family val="2"/>
        <scheme val="minor"/>
      </rPr>
      <t xml:space="preserve">
A) Continuous software inventory tools dynamically track and block models whose open-source or commercial licenses conflict with enterprise policy.
B) Legal and security teams review model licenses manually during procurement, but track usage via static spreadsheets.
C) License tracking happens reactively after corporate legal audits or when intellectual property violations are suspected.
D) Developers deploy open-source models freely without checking license restrictions, risking significant legal liability.</t>
    </r>
  </si>
  <si>
    <t>Model Inversion &amp; Membership Inference</t>
  </si>
  <si>
    <r>
      <t xml:space="preserve">Differential Privacy Noise Injection
</t>
    </r>
    <r>
      <rPr>
        <sz val="12"/>
        <color theme="1"/>
        <rFont val="Calibri"/>
        <family val="2"/>
        <scheme val="minor"/>
      </rPr>
      <t>A) All infrastructure configurations deploy via centralized, peer-reviewed git repositories with immutable version tags.
B) Architecture models follow documented configuration files, but modifications occur outside git management interfaces periodically.
C) Environments deploy using local server tracking tables, relying on manual entry forms when updates occur.
D) Infrastructure parameters are adjusted manually via cloud consoles without version control or central blueprint files.</t>
    </r>
  </si>
  <si>
    <r>
      <t xml:space="preserve">Token Log-Probability Obfuscation
</t>
    </r>
    <r>
      <rPr>
        <sz val="12"/>
        <color theme="1"/>
        <rFont val="Calibri"/>
        <family val="2"/>
        <scheme val="minor"/>
      </rPr>
      <t xml:space="preserve">
A) API management gateways permanently strip or mask token log-probability data for all external user requests.
B) Probability outputs are restricted to internal developers, but lack strict role-based access limits at the gateway layer.
C) Log-probabilities are restricted using prompt instructions, which are easily bypassed by determined users.
D) API endpoints return full token log-probability strings publicly, allowing model extraction and inversion attacks.</t>
    </r>
  </si>
  <si>
    <r>
      <t xml:space="preserve">Model Memorization Score Metrics
</t>
    </r>
    <r>
      <rPr>
        <sz val="12"/>
        <color theme="1"/>
        <rFont val="Calibri"/>
        <family val="2"/>
        <scheme val="minor"/>
      </rPr>
      <t>A) Validation pipelines test models continuously using automated extraction scripts, rejecting builds that exceed safe memorization thresholds.
B) Data science teams run basic verification tests manually before production release, using static testing scripts.
C) Memorization checks happen reactively after external reports of data leakage or model alignment failures.
D) Models go live without any testing for training data memorization, creating high risks of intellectual property exposure</t>
    </r>
  </si>
  <si>
    <r>
      <t xml:space="preserve">High-Frequency Output Pattern Filtering
</t>
    </r>
    <r>
      <rPr>
        <sz val="12"/>
        <color theme="1"/>
        <rFont val="Calibri"/>
        <family val="2"/>
        <scheme val="minor"/>
      </rPr>
      <t>A) Real-time traffic rules monitor semantic prompt patterns, blocking high-frequency queries that target data memorization.
B) Gateways enforce standard IP-based rate limiting, but fail to analyze the semantic intent or patterns of incoming prompts.
C) Traffic limiting relies on generic web server connection caps, which are easily bypassed using distributed proxy networks.
D) API inputs run without transaction rate caps, allowing malicious actors to send millions of target data queries unimpeded</t>
    </r>
  </si>
  <si>
    <t>Overreliance, Hallucination &amp; Output Validation</t>
  </si>
  <si>
    <r>
      <t xml:space="preserve">Automated Cross-Model Output Comparison
</t>
    </r>
    <r>
      <rPr>
        <sz val="12"/>
        <color theme="1"/>
        <rFont val="Calibri"/>
        <family val="2"/>
        <scheme val="minor"/>
      </rPr>
      <t xml:space="preserve">
A) High-impact responses require real-time validation via consensus logic across multiple independent model architectures.
B) Responses generate parallel outputs for manual review by internal teams, but lack automated real-time blocking.
C) Output validation checks rely on basic keyword matching rules without analyzing the logical consistency of the text.
D) Model responses are trusted implicitly and sent to downstream systems without cross-model validation or consistency checks</t>
    </r>
  </si>
  <si>
    <r>
      <t xml:space="preserve">Hallucination Index Threshold Metrics
</t>
    </r>
    <r>
      <rPr>
        <sz val="12"/>
        <color theme="1"/>
        <rFont val="Calibri"/>
        <family val="2"/>
        <scheme val="minor"/>
      </rPr>
      <t xml:space="preserve">
A)  Semantic evaluation nodes score output confidence levels in real-time, blocking responses that exceed strict hallucination limits.
B) System parameters optimize confidence using temperature controls, but lack independent real-time scoring tools.
C) Hallucination tracking relies on user-initiated flags (e.g., thumbs down buttons) without automated monitoring.
D) Applications run without confidence checking, exposing downstream workflows to inaccurate or hallucinated text.</t>
    </r>
  </si>
  <si>
    <r>
      <t xml:space="preserve">Retrieval Source Citation Verification
</t>
    </r>
    <r>
      <rPr>
        <sz val="12"/>
        <color theme="1"/>
        <rFont val="Calibri"/>
        <family val="2"/>
        <scheme val="minor"/>
      </rPr>
      <t xml:space="preserve">
A) RAG components use cryptographic link parsers to verify that every citation maps back to a valid document source.
B) The system appends source document titles to outputs, but skips automated checking to verify if the content matches.
C) Citations rely on the model generating accurate URLs, which frequently results in broken or hallucinated links.
D) The application displays generated assertions without tracking, citations, or background source verification.</t>
    </r>
  </si>
  <si>
    <r>
      <t xml:space="preserve">Downstream User Risk Level Disclaimers
</t>
    </r>
    <r>
      <rPr>
        <sz val="12"/>
        <color theme="1"/>
        <rFont val="Calibri"/>
        <family val="2"/>
        <scheme val="minor"/>
      </rPr>
      <t xml:space="preserve">
A) User interfaces feature prominent, dynamic disclaimers tailored to the user's specific context and risk level.
B) Applications use a static generic safety warning on the login page, which is easily ignored by daily operators.
C) Liability disclaimers are hidden deep within corporate terms of service documents without user-facing visibility.
D) Applications deliver AI responses without safety warnings, exposing operations to unmitigated overreliance risks.</t>
    </r>
  </si>
  <si>
    <r>
      <t xml:space="preserve">Explanatory Attribution Logic Validation
</t>
    </r>
    <r>
      <rPr>
        <sz val="12"/>
        <color theme="1"/>
        <rFont val="Calibri"/>
        <family val="2"/>
        <scheme val="minor"/>
      </rPr>
      <t>A) Chain-of-thought processing steps are recorded, analyzed by security nodes, and hidden from user viewing to prevent exploitation.
B) Reason generation logs are recorded for debugging, but access controls lack strict role-based isolation boundaries.
C) Attribution checks rely on asking the model to explain its own output within the active chat window.
D) Explanatory reasoning steps are completely untracked, leaving the model's decision-making process an unauditable black box.</t>
    </r>
  </si>
  <si>
    <t>Insecure Plugin &amp; Agency Design</t>
  </si>
  <si>
    <r>
      <rPr>
        <u/>
        <sz val="12"/>
        <color theme="1"/>
        <rFont val="Calibri"/>
        <family val="2"/>
        <scheme val="minor"/>
      </rPr>
      <t xml:space="preserve">Plugin API Token Authentication Security
</t>
    </r>
    <r>
      <rPr>
        <sz val="12"/>
        <color theme="1"/>
        <rFont val="Calibri"/>
        <family val="2"/>
        <scheme val="minor"/>
      </rPr>
      <t xml:space="preserve">
A) All outbound plugin links use short-lived, micro-scoped OAuth tokens that expire automatically within 15 minutes.
B) Plugins leverage dedicated API keys, but those access credentials remain static and require manual rotation.
C) Plugins reuse a single shared enterprise access token, relying entirely on the model to select correct task permissions.
D) Integration bridges skip API authentication steps, processing external requests without token verification.</t>
    </r>
  </si>
  <si>
    <r>
      <rPr>
        <u/>
        <sz val="12"/>
        <color theme="1"/>
        <rFont val="Calibri"/>
        <family val="2"/>
        <scheme val="minor"/>
      </rPr>
      <t xml:space="preserve">Dynamic Schema Ingress Sanitization
</t>
    </r>
    <r>
      <rPr>
        <sz val="12"/>
        <color theme="1"/>
        <rFont val="Calibri"/>
        <family val="2"/>
        <scheme val="minor"/>
      </rPr>
      <t xml:space="preserve">
A)  Intermediary controllers validate model-generated plugin arguments against strict JSON type schemas before execution.
B) Basic validation loops check data formatting, but miss edge-case or malformed text injection attempts.
C) Errors are handled using basic try-except blocks, catching execution crashes without sanitizing input variable values.
D) Plugins process model-generated variables directly, exposing downstream code to remote code execution (RCE) exploits.</t>
    </r>
  </si>
  <si>
    <r>
      <rPr>
        <u/>
        <sz val="12"/>
        <color theme="1"/>
        <rFont val="Calibri"/>
        <family val="2"/>
        <scheme val="minor"/>
      </rPr>
      <t xml:space="preserve">Cross-Plugin Communication Isolation
</t>
    </r>
    <r>
      <rPr>
        <sz val="12"/>
        <color theme="1"/>
        <rFont val="Calibri"/>
        <family val="2"/>
        <scheme val="minor"/>
      </rPr>
      <t xml:space="preserve">
A) Every active plugin executes within an isolated network sandbox, with zero lateral path access to other plugins.
B) Plugins use separate access tokens, but share the same underlying memory space and network transport layers.
C) Separation relies on basic naming conventions, allowing a compromised plugin to intercept data from adjacent tools.
D) Plugins communicate across a flat, unmonitored architecture, allowing direct data leaks between integrated tools.</t>
    </r>
  </si>
  <si>
    <r>
      <rPr>
        <u/>
        <sz val="12"/>
        <color theme="1"/>
        <rFont val="Calibri"/>
        <family val="2"/>
        <scheme val="minor"/>
      </rPr>
      <t xml:space="preserve">Plugin Error Output Masking
</t>
    </r>
    <r>
      <rPr>
        <sz val="12"/>
        <color theme="1"/>
        <rFont val="Calibri"/>
        <family val="2"/>
        <scheme val="minor"/>
      </rPr>
      <t>A) Gateways intercept all plugin failures, replacing raw system stack traces with generic, safe error codes.
B) Error strings remove database passwords, but leave internal server path names visible to the model context.
C) Raw execution failures feed directly back into the model prompt, allowing attackers to map internal infrastructure.
D) Plugins display unmasked system stack traces directly to the user interface, exposing internal credentials.</t>
    </r>
  </si>
  <si>
    <r>
      <rPr>
        <u/>
        <sz val="12"/>
        <color theme="1"/>
        <rFont val="Calibri"/>
        <family val="2"/>
        <scheme val="minor"/>
      </rPr>
      <t xml:space="preserve">Third-Party Plugin Repository Attestation
</t>
    </r>
    <r>
      <rPr>
        <sz val="12"/>
        <color theme="1"/>
        <rFont val="Calibri"/>
        <family val="2"/>
        <scheme val="minor"/>
      </rPr>
      <t xml:space="preserve">
A) Applications allow integrations exclusively with plugins that carry verified, cryptographically signed corporate attestations.
B) Extensions require manual approval from architecture teams, but lack automated code-integrity verification.
C) Teams install public marketplace plugins freely, provided the tool does not trigger baseline firewall alerts.
D) Applications load unverified, third-party plugin packages from public code repositories without security reviews.</t>
    </r>
  </si>
  <si>
    <t>Serverless/Vector Database Network Isolation</t>
  </si>
  <si>
    <r>
      <rPr>
        <u/>
        <sz val="12"/>
        <color theme="1"/>
        <rFont val="Calibri"/>
        <family val="2"/>
        <scheme val="minor"/>
      </rPr>
      <t xml:space="preserve">Vector Endpoint Network Access Routings
</t>
    </r>
    <r>
      <rPr>
        <sz val="12"/>
        <color theme="1"/>
        <rFont val="Calibri"/>
        <family val="2"/>
        <scheme val="minor"/>
      </rPr>
      <t xml:space="preserve">
A) Metadata filters use dynamic, cryptographically signed user permission tokens to isolate index partitions at runtime.
B) Multi-tenant isolation uses basic text-based labels, which requires continuous manual auditing to prevent leakage.
C) Separation relies on application-level filtering, running high risks of data leakage due to loose logic rules.
D) Index boundaries are completely absent, allowing any database search query to access multi-tenant records globally.</t>
    </r>
  </si>
  <si>
    <r>
      <rPr>
        <u/>
        <sz val="12"/>
        <color theme="1"/>
        <rFont val="Calibri"/>
        <family val="2"/>
        <scheme val="minor"/>
      </rPr>
      <t xml:space="preserve">Vector DB API Key Lifecycle Management
</t>
    </r>
    <r>
      <rPr>
        <sz val="12"/>
        <color theme="1"/>
        <rFont val="Calibri"/>
        <family val="2"/>
        <scheme val="minor"/>
      </rPr>
      <t xml:space="preserve">
A) Database access keys use hardware-backed vaults and undergo automated password rotations every 30 days.
B) Credentials use managed secret vaults, but access keys remain static and require manual rotation.
C) Access codes use simple strings that are shared across multiple development and engineering teams.
D) Hardcoded database access keys are stored in plaintext inside public application code files</t>
    </r>
  </si>
  <si>
    <r>
      <rPr>
        <u/>
        <sz val="12"/>
        <color theme="1"/>
        <rFont val="Calibri"/>
        <family val="2"/>
        <scheme val="minor"/>
      </rPr>
      <t xml:space="preserve">Volatile Compute Memory Isolation
</t>
    </r>
    <r>
      <rPr>
        <sz val="12"/>
        <color theme="1"/>
        <rFont val="Calibri"/>
        <family val="2"/>
        <scheme val="minor"/>
      </rPr>
      <t xml:space="preserve">
A) Vector search workers clear cache structures and wipe volatile memory arrays immediately after completing a query.
B) Memory buffers use automated garbage collection, but retain historic query data for up to 30 minutes in cleartext.
C) Cache expiration limits are extended to maximize performance, leaving text data visible in memory dumps.
D) Volatile memory structures persist data indefinitely without isolation, exposure controls, or flush schedules.</t>
    </r>
  </si>
  <si>
    <r>
      <rPr>
        <u/>
        <sz val="12"/>
        <color theme="1"/>
        <rFont val="Calibri"/>
        <family val="2"/>
        <scheme val="minor"/>
      </rPr>
      <t xml:space="preserve">Cross-Tenant Database Collection Partitioning
</t>
    </r>
    <r>
      <rPr>
        <sz val="12"/>
        <color theme="1"/>
        <rFont val="Calibri"/>
        <family val="2"/>
        <scheme val="minor"/>
      </rPr>
      <t xml:space="preserve">
A) Multi-tenant data architectures deploy completely distinct physical clusters with separate hardware encryption rings per tenant.
B) Enclaves separate data logically using unique index namespaces, but share the same physical database engine.
C) Partitioning uses shared tables that rely on basic query constraints to keep tenant records separate.
D) Diverse client records are mixed within a single unpartitioned collection, relying on application filters for safety.</t>
    </r>
  </si>
  <si>
    <t>AI Logging, Shadow LLM Detection &amp; Observability</t>
  </si>
  <si>
    <r>
      <rPr>
        <u/>
        <sz val="12"/>
        <color theme="1"/>
        <rFont val="Calibri"/>
        <family val="2"/>
        <scheme val="minor"/>
      </rPr>
      <t xml:space="preserve">Prompt and Response Telemetry Ingestion
</t>
    </r>
    <r>
      <rPr>
        <sz val="12"/>
        <color theme="1"/>
        <rFont val="Calibri"/>
        <family val="2"/>
        <scheme val="minor"/>
      </rPr>
      <t xml:space="preserve">
A) Centralized SIEM platforms ingest all incoming prompts and model responses in real-time using secure syslog streams.
B) Activity logs collect inside a centralized database daily, but monitoring relies on manual keyword matching.
C) Telemetry records compile locally on individual application servers, creating visibility gaps during incidents.
D) Application tracking is deactivated across AI workloads, leaving user prompts and model behaviors unrecorded.</t>
    </r>
  </si>
  <si>
    <r>
      <t xml:space="preserve">Shadow AI Egress Proxy Enforcement
</t>
    </r>
    <r>
      <rPr>
        <sz val="12"/>
        <color theme="1"/>
        <rFont val="Calibri"/>
        <family val="2"/>
        <scheme val="minor"/>
      </rPr>
      <t>A) Forward proxies inspect outbound corporate traffic, dropping all unapproved connection requests to external AI sites.
B) Firewalls log traffic to known AI domains, but lack automated rules to block access across unmanaged endpoints.
C) Control relies entirely on corporate computer-use policies without technical enforcement at the perimeter.
D) Corporate endpoints possess unrestricted outbound access, allowing personnel to paste source code into public AI tools.</t>
    </r>
  </si>
  <si>
    <r>
      <t xml:space="preserve">Adversarial Activity Alerting Latency
</t>
    </r>
    <r>
      <rPr>
        <sz val="12"/>
        <color theme="1"/>
        <rFont val="Calibri"/>
        <family val="2"/>
        <scheme val="minor"/>
      </rPr>
      <t>A) Security incident alerts route to operational groups within 60 seconds of identifying an adversarial prompt pattern.
B) Threat detection workflows use batch processing cycles, creating 30-to-60-minute delays before notifications.
C) Alert reviews occur during manual daily check sweeps, causing significant remediation backlogs.
D) Threat notification systems are completely missing, leaving security teams blind to active attacks.</t>
    </r>
  </si>
  <si>
    <r>
      <t xml:space="preserve">Semantic Vector Trend Deviation Tracking
</t>
    </r>
    <r>
      <rPr>
        <sz val="12"/>
        <color theme="1"/>
        <rFont val="Calibri"/>
        <family val="2"/>
        <scheme val="minor"/>
      </rPr>
      <t>A) Machine learning engines continuously analyze the embedding space of incoming traffic to flag anomalous query clusters instantly.
B) Systems detect basic anomalies using rate limits, but fail to analyze the underlying semantic meaning of the prompts.
C) Deviation tracking relies on manual analysis of daily usage logs by engineering teams.
D) Semantic tracking is entirely absent, allowing slow-moving prompt manipulation attacks to bypass detection boundaries.</t>
    </r>
  </si>
  <si>
    <r>
      <t xml:space="preserve">Token Volumetric Surge Anomaly Alerts
</t>
    </r>
    <r>
      <rPr>
        <sz val="12"/>
        <color theme="1"/>
        <rFont val="Calibri"/>
        <family val="2"/>
        <scheme val="minor"/>
      </rPr>
      <t>A) Real-time traffic rules monitor token output counts, dropping connections instantly if a volumetric surge occurs.
B) Monitoring metrics track total token consumption, but lack granular alerts for individual user sessions.
C) Token consumption counts are reviewed monthly on billing reports, catching usage surges long after execution.
D) Systems lack token volume limits or alerts, allowing automated denial-of-service or extraction attacks to run unchecked.</t>
    </r>
  </si>
  <si>
    <t>AI Infrastructure Configuration Drift &amp; IaC</t>
  </si>
  <si>
    <r>
      <t xml:space="preserve">AI Infrastructure Code Validation Pipelines
</t>
    </r>
    <r>
      <rPr>
        <sz val="12"/>
        <color theme="1"/>
        <rFont val="Calibri"/>
        <family val="2"/>
        <scheme val="minor"/>
      </rPr>
      <t>A) Automated testing tools evaluate IaC definitions during repository code submissions, blocking unhardened updates.
B) Security teams complete peer reviews of infrastructure files before deployment, but skip using automated testing tools.
C) Code evaluation occurs only before major infrastructure overhauls or system architecture changes.
D) AI infrastructure files bypass security screening, leaving target environments unhardened.</t>
    </r>
  </si>
  <si>
    <r>
      <t xml:space="preserve">Model Parameter Configuration Drift Detection
</t>
    </r>
    <r>
      <rPr>
        <sz val="12"/>
        <color theme="1"/>
        <rFont val="Calibri"/>
        <family val="2"/>
        <scheme val="minor"/>
      </rPr>
      <t>A) Drift scanners check production settings every hour and automatically roll back any unauthorized manual updates.
B) Scan sweeps identify manual configuration updates every week, generating drift notification alerts.
C) Discrepancies are identified during manual infrastructure tracking reviews every quarter.
D) System parameters drift unchecked due to the lack of automated tracking tools or baselines.</t>
    </r>
  </si>
  <si>
    <r>
      <t xml:space="preserve">Manual Console Change Restrictions
</t>
    </r>
    <r>
      <rPr>
        <sz val="12"/>
        <color theme="1"/>
        <rFont val="Calibri"/>
        <family val="2"/>
        <scheme val="minor"/>
      </rPr>
      <t>A) Adjustments via the cloud console are blocked; all model infrastructure updates must pass through CI/CD pipelines.
B) Console access is open for emergencies, but any manual update triggers an immediate alert to the operations team.
C) Manual adjustments require approval tickets, but lack automated systems to track configuration changes.
D) Engineers can make direct modifications to model configurations via the web console without tracking or reviews.</t>
    </r>
  </si>
  <si>
    <r>
      <t xml:space="preserve">Model Architecture Version Control Consistency
</t>
    </r>
    <r>
      <rPr>
        <sz val="12"/>
        <color theme="1"/>
        <rFont val="Calibri"/>
        <family val="2"/>
        <scheme val="minor"/>
      </rPr>
      <t>A)  GitOps deployment models mandate peer-reviewed pull requests and cryptographic hash signatures to apply architecture updates.
B) Version tracking uses basic repository branches, but lacks multi-signature approval gates for production changes.
C) Model files are updated manually on application hosts, relying on file names (e.g., model_v2_final) for tracking.
D) Environment files run without version control, allowing unlogged modifications to go unnoticed.</t>
    </r>
  </si>
  <si>
    <r>
      <t xml:space="preserve">Hyperparameter Configuration Access Control
</t>
    </r>
    <r>
      <rPr>
        <sz val="12"/>
        <color theme="1"/>
        <rFont val="Calibri"/>
        <family val="2"/>
        <scheme val="minor"/>
      </rPr>
      <t>A) Modifying model hyperparameters requires multi-department authorization tokens and triggers automated safety tests.
B) Parameter settings require administrative credentials, but lack continuous monitoring to catch configuration changes.
C) Developers can adjust hyperparameter configurations freely within the development environment without tracking or alerts.
D) Hyperparameter values use wide-open access controls, allowing any connected profile to modify model configurations.</t>
    </r>
  </si>
  <si>
    <t>Cross-Model/SaaS AI API Trust Boundaries</t>
  </si>
  <si>
    <r>
      <t xml:space="preserve">Multi-Model Routing Key Protection
</t>
    </r>
    <r>
      <rPr>
        <sz val="12"/>
        <color theme="1"/>
        <rFont val="Calibri"/>
        <family val="2"/>
        <scheme val="minor"/>
      </rPr>
      <t xml:space="preserve">
A) Routing keys are retrieved at runtime from hardware-backed vaults using short-lived tokens.
B) API access keys use managed secret vaults, but credentials remain static and require manual rotation.
C) Access codes use simple strings that are shared across multiple internal development teams.
D) External API keys are stored in plaintext inside application configuration files with zero rotation.</t>
    </r>
  </si>
  <si>
    <r>
      <t xml:space="preserve">SaaS Vendor Data-Processing Agreement Compliance
</t>
    </r>
    <r>
      <rPr>
        <sz val="12"/>
        <color theme="1"/>
        <rFont val="Calibri"/>
        <family val="2"/>
        <scheme val="minor"/>
      </rPr>
      <t xml:space="preserve">
A) API links mandate zero-data-retention profiles, ensuring the vendor cannot use enterprise data for model training.
B) Procurement teams verify vendor data policies manually, but lack systems to monitor compliance at the API layer.
C) Data policies follow standard consumer guidelines, giving the vendor broad rights to retain query history logs.
D) Applications link to public SaaS APIs without data-processing reviews, exposing corporate records to vendor training loops.</t>
    </r>
  </si>
  <si>
    <r>
      <t xml:space="preserve">API Timeout and Resource Exhaustion Resiliency
</t>
    </r>
    <r>
      <rPr>
        <sz val="12"/>
        <color theme="1"/>
        <rFont val="Calibri"/>
        <family val="2"/>
        <scheme val="minor"/>
      </rPr>
      <t xml:space="preserve">
A) Circuit breakers and token bucket rate limits protect endpoints, dropping malicious high-volume requests instantly.
B) Endpoints enforce standard time-out limits, but lack active rate-limiting infrastructure at the API gateway layer.
C) API links rely on the external provider's rate limits, running high risks of systemic service interruptions.
D) Gateways operate without connection limits or timeouts, allowing simple denial-of-service attacks to crash the app.</t>
    </r>
  </si>
  <si>
    <r>
      <t xml:space="preserve">Cross-Model Response Format Verification
</t>
    </r>
    <r>
      <rPr>
        <sz val="12"/>
        <color theme="1"/>
        <rFont val="Calibri"/>
        <family val="2"/>
        <scheme val="minor"/>
      </rPr>
      <t xml:space="preserve">
A) Ingress controllers validate the structure and content schema of external model responses before processing downstream.
B) Validation scripts look for basic data type errors, but skip deep verification of response payload values.
C) Response checking relies on loose try-except loops, handling processing crashes without checking text values.
D) External model payloads flow directly into internal logic systems without validation or configuration checks.</t>
    </r>
  </si>
  <si>
    <r>
      <t xml:space="preserve">External Model Endpoint Certificate Validation
</t>
    </r>
    <r>
      <rPr>
        <sz val="12"/>
        <color theme="1"/>
        <rFont val="Calibri"/>
        <family val="2"/>
        <scheme val="minor"/>
      </rPr>
      <t xml:space="preserve">
A) Client applications require valid mutual TLS certificates and drop connections immediately if a root CA is unwhitelisted.
B) Validation routines verify certificate expiration dates, but fail to issue real-time revocation lookups.
C) Platform connections trigger minor warnings on invalid certificates but allow data transmission to proceed.
D) Network connections skip certificate checks entirely, allowing rogue TLS identities to decrypt traffic.</t>
    </r>
  </si>
  <si>
    <t>Training Data &amp; Model Secret Theft</t>
  </si>
  <si>
    <r>
      <t xml:space="preserve">Model Weight Storage Access Hardening
</t>
    </r>
    <r>
      <rPr>
        <sz val="12"/>
        <color theme="1"/>
        <rFont val="Calibri"/>
        <family val="2"/>
        <scheme val="minor"/>
      </rPr>
      <t>A) Model weight files (e.g., .safetensors) use local hardware keys and are stored in isolated, non-routable enclaves.
B) Storage permissions use standard bucket configurations, which requires continuous manual checking to avoid errors.
C) Weight files are saved on shared corporate network drives that use permissive file system access control lists.
D) Model weight files reside in public cloud storage buckets with active public IP allocations assigned to nodes.</t>
    </r>
  </si>
  <si>
    <r>
      <t xml:space="preserve">Exfiltration Block Data Loss Prevention (DLP)
</t>
    </r>
    <r>
      <rPr>
        <sz val="12"/>
        <color theme="1"/>
        <rFont val="Calibri"/>
        <family val="2"/>
        <scheme val="minor"/>
      </rPr>
      <t>A) Endpoint and gateway DLP tools identify and block outbound transfers of model weight files automatically.
B) Monitoring rules flag large data transfers, but require manual investigation by security teams before blocking.
C) Exfiltration tracking focuses on standard office files, skipping verification of specialized model binary formats.
D) Systems operate without outbound file monitoring, allowing unhindered download of model assets.</t>
    </r>
  </si>
  <si>
    <r>
      <t xml:space="preserve">Model Extraction Query Pattern Identification
</t>
    </r>
    <r>
      <rPr>
        <sz val="12"/>
        <color theme="1"/>
        <rFont val="Calibri"/>
        <family val="2"/>
        <scheme val="minor"/>
      </rPr>
      <t>A)  Real-time evaluation tools identify continuous query variations, blocking users who attempt to reconstruct model weights.
B) Security logs track user request volumes, but fail to analyze the structural relationship of successive prompts.
C) Query analysis happens reactively after corporate network performance degradation alerts occur.
D) Applications run without query pattern tracking, allowing automated extraction scripts to reverse-engineer model weights.</t>
    </r>
  </si>
  <si>
    <r>
      <t xml:space="preserve">Internal Training Source Access Restrictions
</t>
    </r>
    <r>
      <rPr>
        <sz val="12"/>
        <color theme="1"/>
        <rFont val="Calibri"/>
        <family val="2"/>
        <scheme val="minor"/>
      </rPr>
      <t>A) Access to raw training repositories requires hardware keys, multi-department approval, and short-lived tokens.
B) Repositories require individual passwords, but permissions grant broad read access across development teams.
C) Source files are stored on unencrypted network file shares with basic group permissions.
D) Training datasets are accessible to all internal staff without tracking, authentication, or access restrictions.</t>
    </r>
  </si>
  <si>
    <r>
      <t xml:space="preserve">AI Research Environment Endpoint Isolation
</t>
    </r>
    <r>
      <rPr>
        <sz val="12"/>
        <color theme="1"/>
        <rFont val="Calibri"/>
        <family val="2"/>
        <scheme val="minor"/>
      </rPr>
      <t>A) Research and development systems run in completely separate cloud accounts with zero corporate network paths.
B) Development environments use logical subnets, but share the same core Active Directory infrastructure.
C) Research servers reside on the main enterprise network tier, relying on host firewalls for isolation.
D) Research clusters connect directly to the corporate network without perimeters, isolation, or access firewalls.</t>
    </r>
  </si>
  <si>
    <t>Model Red Teaming &amp; Continuous Evaluation</t>
  </si>
  <si>
    <r>
      <t xml:space="preserve">Automated Jailbreak Simulation Cadence
</t>
    </r>
    <r>
      <rPr>
        <sz val="12"/>
        <color theme="1"/>
        <rFont val="Calibri"/>
        <family val="2"/>
        <scheme val="minor"/>
      </rPr>
      <t xml:space="preserve">
A) Automated red-teaming frameworks continuously run adversarial jailbreak simulations against production systems daily.
B) Security teams complete manual penetration testing checks every quarter against established baselines.
C) Jailbreak testing happens reactively following major model version updates or public exploit reports.
D) Systems go live without any adversarial simulation or vulnerability testing, keeping risk exposure unknown.</t>
    </r>
  </si>
  <si>
    <r>
      <t xml:space="preserve">Continuous Benchmarking for Model Security Alignment
</t>
    </r>
    <r>
      <rPr>
        <sz val="12"/>
        <color theme="1"/>
        <rFont val="Calibri"/>
        <family val="2"/>
        <scheme val="minor"/>
      </rPr>
      <t xml:space="preserve">
A) Evaluation tools run safety benchmark suites (e.g., G-Eval) automatically on every code commit to identify security drift.
B) Model alignment checks run monthly, generating static reports for security architecture review.
C) Alignment verification relies on vendor-provided base safety metrics without internal validation testing.
D) Models lack safety benchmarking workflows, allowing drift to degrade system security baselines.</t>
    </r>
  </si>
  <si>
    <r>
      <t xml:space="preserve">LLM Vulnerability Registry Incident Tracking
</t>
    </r>
    <r>
      <rPr>
        <sz val="12"/>
        <color theme="1"/>
        <rFont val="Calibri"/>
        <family val="2"/>
        <scheme val="minor"/>
      </rPr>
      <t xml:space="preserve">
A) System vulnerabilities match real-time entries in international registries (e.g., MITRE ATLAS), updating threat scores instantly.
B) Engineering teams review new AI threat reports manually every month to update infrastructure settings.
C) Tracking relies on ad-hoc reviews of security news feeds without formal alignment with threat registries.
D) Vulnerability tracking for AI components is missing, leaving the organization exposed to known exploits.</t>
    </r>
  </si>
  <si>
    <r>
      <t xml:space="preserve">Threat Intelligence Feed Integration Frequency
</t>
    </r>
    <r>
      <rPr>
        <sz val="12"/>
        <color theme="1"/>
        <rFont val="Calibri"/>
        <family val="2"/>
        <scheme val="minor"/>
      </rPr>
      <t xml:space="preserve">
A) Automated orchestrators pull adversarial prompt threat intelligence feeds every hour, updating system guardrails instantly.
B) Security analysts update regex input filters manually every week based on threat intelligence advisories.
C) Guardrail updates happen reactively after major software exploits target the enterprise infrastructure.
D) Threat intelligence feeds are completely unintegrated, leaving defenses static against emerging attack vectors.</t>
    </r>
  </si>
  <si>
    <r>
      <t xml:space="preserve">Adversarial Perturbation Risk Mitigation Reviews
</t>
    </r>
    <r>
      <rPr>
        <sz val="12"/>
        <color theme="1"/>
        <rFont val="Calibri"/>
        <family val="2"/>
        <scheme val="minor"/>
      </rPr>
      <t xml:space="preserve">
A) Input validation pipelines check image and text inputs for mathematical noise adjustments before model processing.
B) Systems convert incoming files to standard formats to eliminate noise, but skip deep behavioral analysis.
C) Input checking relies on standard file size caps without verifying structural content changes.
D) Inputs process directly without content filters, allowing malformed files to trigger model execution failures.</t>
    </r>
  </si>
  <si>
    <t xml:space="preserve">DevSecOps for GenAI &amp; Pipeline Auditing </t>
  </si>
  <si>
    <r>
      <t xml:space="preserve">Automated Model Deployment Validation Checks
</t>
    </r>
    <r>
      <rPr>
        <sz val="12"/>
        <color theme="1"/>
        <rFont val="Calibri"/>
        <family val="2"/>
        <scheme val="minor"/>
      </rPr>
      <t>A) Automated deployment gates run full security regression tests, blocking model releases that fail alignment limits.
B) Engineering leaders sign off on model updates manually within the deployment repository management tool.
C) Models are deployed using custom developer scripts, relying on manual testing to catch errors.
D) Code delivery pipelines push model changes to production automatically without verification gates or review steps.</t>
    </r>
  </si>
  <si>
    <r>
      <t xml:space="preserve">Pipeline Execution Authentication Tokens
</t>
    </r>
    <r>
      <rPr>
        <sz val="12"/>
        <color theme="1"/>
        <rFont val="Calibri"/>
        <family val="2"/>
        <scheme val="minor"/>
      </rPr>
      <t>A) Deployment pipelines use transient OIDC tokens to modify AI resources without using long-lived static keys.
B) Pipelines use dedicated access keys that undergo automated rotation schedules every 90 days.
C) Delivery systems reuse shared keys that are saved within cleartext environment properties files.
D) Cleartext pipeline credentials sit inside public repository code files with zero rotation or monitoring.</t>
    </r>
  </si>
  <si>
    <r>
      <t xml:space="preserve">Model Container Image Base Hardening
</t>
    </r>
    <r>
      <rPr>
        <sz val="12"/>
        <color theme="1"/>
        <rFont val="Calibri"/>
        <family val="2"/>
        <scheme val="minor"/>
      </rPr>
      <t>A) Model containers (e.g., Triton, vLLM) are automatically hardened to CIS Benchmarks and re-built weekly via automated pipelines.
B) Images follow documented internal templates, but baseline configuration auditing happens manually every month.
C) Clusters pull stock container images directly from open marketplace mirrors without custom hardening.
D) Production clusters execute third-party container engines with unverified base images and wide open host directory mounts.</t>
    </r>
  </si>
  <si>
    <r>
      <t xml:space="preserve">MLflow / Tracker Component Network Access Boundaries
</t>
    </r>
    <r>
      <rPr>
        <sz val="12"/>
        <color theme="1"/>
        <rFont val="Calibri"/>
        <family val="2"/>
        <scheme val="minor"/>
      </rPr>
      <t>A) Experiment-tracking dashboards are completely hidden from the web, requiring verified bastion tunnels and mTLS.
B) Management endpoints limit access using specific external IP lists, but do not require certificate-based handshakes.
C) Dashboards run behind standard links, relying on basic corporate directory passwords for access.
D) Tracker API endpoints are unmonitored and open to the public web, allowing remote download of model telemetry.</t>
    </r>
  </si>
  <si>
    <r>
      <t xml:space="preserve">Software Bill of Materials (SBOM) for Model Components
</t>
    </r>
    <r>
      <rPr>
        <sz val="12"/>
        <color theme="1"/>
        <rFont val="Calibri"/>
        <family val="2"/>
        <scheme val="minor"/>
      </rPr>
      <t>A) Build pipelines generate verified SBOM maps automatically and drop any build containing known vulnerable model libraries.
B) Dependency scanners track package updates, but lack automated systems to block vulnerable components.
C) Library updates are evaluated manually during scheduled application optimization sweeps.
D) Workloads run unvetted open-source libraries without visibility into nested component dependencies.</t>
    </r>
  </si>
  <si>
    <t>DevSecOps for GenAI &amp; Pipeline Auditing</t>
  </si>
  <si>
    <t>States</t>
  </si>
  <si>
    <t>Operational Impact</t>
  </si>
  <si>
    <t xml:space="preserve"> The organization has a low risk exposure with mature, proactive AI security controls, continuous monitoring, and strict governance frameworks.</t>
  </si>
  <si>
    <t>Operations run with minimal disruption, compliance penalties are avoided, and customer trust remains exceptionally high.</t>
  </si>
  <si>
    <t xml:space="preserve">🛡️ State 1: Optimized AI Security State(Score: 0% – 40%)
</t>
  </si>
  <si>
    <t>Core security controls are active, allowing the organization to defend against common AI vulnerabilities and recover quickly from minor incidents.</t>
  </si>
  <si>
    <t>Business continuity is maintained, though occasional security patches, minor remediation efforts, and standard policy updates are required.</t>
  </si>
  <si>
    <t xml:space="preserve">⚠️ State 2: Resilient AI Security State (Score: 41% – 60%)
</t>
  </si>
  <si>
    <t>Significant gaps exist in AI data governance, model monitoring, or access controls, leaving the organization highly vulnerable to exploitation.</t>
  </si>
  <si>
    <r>
      <t xml:space="preserve">🚨 State 3: Elevated AI Risk Exposure (Score: 61% – 80%)
</t>
    </r>
    <r>
      <rPr>
        <b/>
        <u/>
        <sz val="10"/>
        <color theme="1"/>
        <rFont val="Arial"/>
        <family val="2"/>
      </rPr>
      <t xml:space="preserve">
</t>
    </r>
  </si>
  <si>
    <t>Increased likelihood of data leaks, compliance violations, intellectual property theft, and financial losses due to successful adversarial attacks.</t>
  </si>
  <si>
    <t>Definitions</t>
  </si>
  <si>
    <t>The AI environment lacks fundamental security guardrails, suffering from active exploits, massive vulnerabilities, or total lack of oversight.</t>
  </si>
  <si>
    <t xml:space="preserve"> Severe operational downtime, catastrophic data breaches, legal liabilities, regulatory shutdown of AI services, and permanent brand damage.</t>
  </si>
  <si>
    <t xml:space="preserve">☠️ State 4: Critical AI Security Threat Posture (Score: 81% – 100%)
</t>
  </si>
  <si>
    <t>Security Posturing Forecast State</t>
  </si>
  <si>
    <t>© 2026 Amit Kulkarni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</si>
</sst>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6"/>
      <color theme="1"/>
      <name val="Calibri"/>
      <family val="2"/>
      <scheme val="minor"/>
    </font>
    <font>
      <sz val="14"/>
      <color theme="1"/>
      <name val="Calibri"/>
      <family val="2"/>
      <scheme val="minor"/>
    </font>
    <font>
      <b/>
      <sz val="10"/>
      <color theme="1"/>
      <name val="Arial"/>
      <family val="2"/>
    </font>
    <font>
      <sz val="12"/>
      <color theme="1"/>
      <name val="Calibri"/>
      <family val="2"/>
      <scheme val="minor"/>
    </font>
    <font>
      <u/>
      <sz val="12"/>
      <color theme="1"/>
      <name val="Calibri"/>
      <family val="2"/>
      <scheme val="minor"/>
    </font>
    <font>
      <b/>
      <sz val="14"/>
      <color theme="1"/>
      <name val="Calibri"/>
      <family val="2"/>
      <scheme val="minor"/>
    </font>
    <font>
      <b/>
      <u/>
      <sz val="12"/>
      <color theme="1"/>
      <name val="Calibri"/>
      <family val="2"/>
      <scheme val="minor"/>
    </font>
    <font>
      <b/>
      <u/>
      <sz val="10"/>
      <color theme="1"/>
      <name val="Arial"/>
      <family val="2"/>
    </font>
    <font>
      <b/>
      <sz val="12"/>
      <color theme="1"/>
      <name val="Calibri"/>
      <family val="2"/>
      <scheme val="minor"/>
    </font>
  </fonts>
  <fills count="2">
    <fill>
      <patternFill patternType="none"/>
    </fill>
    <fill>
      <patternFill patternType="gray125"/>
    </fill>
  </fills>
  <borders count="2">
    <border>
      <left/>
      <right/>
      <top/>
      <bottom/>
      <diagonal/>
    </border>
    <border>
      <left/>
      <right/>
      <top/>
      <bottom style="medium">
        <color rgb="FFDCDFE5"/>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2" fillId="0" borderId="0" xfId="0" applyFont="1" applyAlignment="1">
      <alignment wrapText="1"/>
    </xf>
    <xf numFmtId="0" fontId="4" fillId="0" borderId="0" xfId="0" applyFont="1" applyAlignment="1">
      <alignment horizontal="left" vertical="center" wrapText="1"/>
    </xf>
    <xf numFmtId="0" fontId="2" fillId="0" borderId="0" xfId="0" applyFont="1" applyAlignment="1">
      <alignment vertical="center" wrapText="1"/>
    </xf>
    <xf numFmtId="0" fontId="5" fillId="0" borderId="0" xfId="0" applyFont="1" applyAlignment="1">
      <alignment wrapText="1"/>
    </xf>
    <xf numFmtId="0" fontId="2" fillId="0" borderId="0" xfId="0" applyFont="1"/>
    <xf numFmtId="0" fontId="4" fillId="0" borderId="0" xfId="0" applyFont="1" applyAlignment="1">
      <alignment wrapText="1"/>
    </xf>
    <xf numFmtId="0" fontId="3"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1" fontId="0" fillId="0" borderId="0" xfId="0" applyNumberFormat="1"/>
    <xf numFmtId="0" fontId="6" fillId="0" borderId="0" xfId="0" applyFont="1"/>
    <xf numFmtId="2" fontId="0" fillId="0" borderId="0" xfId="0" applyNumberFormat="1"/>
    <xf numFmtId="0" fontId="0" fillId="0" borderId="0" xfId="0" pivotButton="1"/>
    <xf numFmtId="0" fontId="0" fillId="0" borderId="0" xfId="0" applyAlignment="1">
      <alignment horizontal="left"/>
    </xf>
    <xf numFmtId="2" fontId="2" fillId="0" borderId="0" xfId="0" applyNumberFormat="1" applyFont="1" applyAlignment="1">
      <alignment vertical="top" wrapText="1"/>
    </xf>
    <xf numFmtId="1" fontId="2" fillId="0" borderId="0" xfId="0" applyNumberFormat="1" applyFont="1"/>
    <xf numFmtId="2" fontId="2" fillId="0" borderId="0" xfId="0" applyNumberFormat="1" applyFont="1"/>
    <xf numFmtId="0" fontId="4" fillId="0" borderId="0" xfId="0" applyFont="1" applyAlignment="1">
      <alignment vertical="top" wrapText="1"/>
    </xf>
    <xf numFmtId="0" fontId="3" fillId="0" borderId="0" xfId="0" applyFont="1" applyAlignment="1">
      <alignment wrapText="1"/>
    </xf>
    <xf numFmtId="0" fontId="4" fillId="0" borderId="0" xfId="0" applyFont="1" applyAlignment="1">
      <alignment horizontal="left" vertical="top" wrapText="1"/>
    </xf>
    <xf numFmtId="0" fontId="3" fillId="0" borderId="0" xfId="0" applyFont="1" applyAlignment="1">
      <alignment horizontal="left" wrapText="1"/>
    </xf>
    <xf numFmtId="0" fontId="9" fillId="0" borderId="0" xfId="0" applyFont="1"/>
    <xf numFmtId="0" fontId="0" fillId="0" borderId="0" xfId="0" applyAlignment="1" applyProtection="1">
      <alignment wrapText="1"/>
      <protection locked="0"/>
    </xf>
    <xf numFmtId="2" fontId="0" fillId="0" borderId="0" xfId="0" applyNumberFormat="1" applyAlignment="1" applyProtection="1">
      <alignment wrapText="1"/>
      <protection hidden="1"/>
    </xf>
    <xf numFmtId="2" fontId="2" fillId="0" borderId="0" xfId="0" applyNumberFormat="1" applyFont="1" applyAlignment="1" applyProtection="1">
      <alignment vertical="top" wrapText="1"/>
      <protection hidden="1"/>
    </xf>
    <xf numFmtId="1" fontId="2" fillId="0" borderId="0" xfId="0" applyNumberFormat="1" applyFont="1" applyProtection="1">
      <protection locked="0"/>
    </xf>
    <xf numFmtId="2" fontId="2" fillId="0" borderId="0" xfId="0" applyNumberFormat="1" applyFont="1" applyProtection="1">
      <protection hidden="1"/>
    </xf>
    <xf numFmtId="10" fontId="2" fillId="0" borderId="0" xfId="0" applyNumberFormat="1" applyFont="1" applyProtection="1">
      <protection hidden="1"/>
    </xf>
    <xf numFmtId="0" fontId="2" fillId="0" borderId="0" xfId="0" applyFont="1" applyAlignment="1" applyProtection="1">
      <alignment wrapText="1"/>
      <protection hidden="1"/>
    </xf>
  </cellXfs>
  <cellStyles count="1">
    <cellStyle name="Normal" xfId="0" builtinId="0"/>
  </cellStyles>
  <dxfs count="9">
    <dxf>
      <numFmt numFmtId="2" formatCode="0.00"/>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4"/>
        <color theme="1"/>
        <name val="Calibri"/>
        <family val="2"/>
        <scheme val="minor"/>
      </font>
    </dxf>
    <dxf>
      <font>
        <b val="0"/>
        <i val="0"/>
        <strike val="0"/>
        <condense val="0"/>
        <extend val="0"/>
        <outline val="0"/>
        <shadow val="0"/>
        <u/>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dxf>
    <dxf>
      <border outline="0">
        <bottom style="medium">
          <color rgb="FFDCDFE5"/>
        </bottom>
      </border>
    </dxf>
    <dxf>
      <font>
        <b/>
        <i val="0"/>
        <strike val="0"/>
        <condense val="0"/>
        <extend val="0"/>
        <outline val="0"/>
        <shadow val="0"/>
        <u val="none"/>
        <vertAlign val="baseline"/>
        <sz val="16"/>
        <color theme="1"/>
        <name val="Calibri"/>
        <family val="2"/>
        <scheme val="minor"/>
      </font>
      <alignment horizontal="center" vertical="center" textRotation="0" wrapText="1" indent="0" justifyLastLine="0" shrinkToFit="0" readingOrder="0"/>
    </dxf>
  </dxfs>
  <tableStyles count="1" defaultTableStyle="TableStyleMedium2" defaultPivotStyle="PivotStyleLight16">
    <tableStyle name="Table Style 1" pivot="0" count="0" xr9:uid="{BCEF45A7-867D-4FFC-813D-8EF5A84A60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[AI_Security_Assessment.xlsx]Dashboards!PivotTable2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Dashboards!$C$26</c:f>
              <c:strCache>
                <c:ptCount val="1"/>
                <c:pt idx="0">
                  <c:v>Sum of Weight Multipliers</c:v>
                </c:pt>
              </c:strCache>
            </c:strRef>
          </c:tx>
          <c:spPr>
            <a:solidFill>
              <a:schemeClr val="accent1"/>
            </a:solidFill>
            <a:ln>
              <a:noFill/>
            </a:ln>
            <a:effectLst/>
          </c:spPr>
          <c:invertIfNegative val="0"/>
          <c:cat>
            <c:strRef>
              <c:f>Dashboards!$B$27:$B$42</c:f>
              <c:strCache>
                <c:ptCount val="15"/>
                <c:pt idx="0">
                  <c:v>AI Infrastructure Configuration Drift &amp; IaC</c:v>
                </c:pt>
                <c:pt idx="1">
                  <c:v>AI Logging, Shadow LLM Detection &amp; Observability</c:v>
                </c:pt>
                <c:pt idx="2">
                  <c:v>Cross-Model/SaaS AI API Trust Boundaries</c:v>
                </c:pt>
                <c:pt idx="3">
                  <c:v>DevSecOps for GenAI &amp; Pipeline Auditing</c:v>
                </c:pt>
                <c:pt idx="4">
                  <c:v>Excessive Agency &amp; Authorization Guardrails</c:v>
                </c:pt>
                <c:pt idx="5">
                  <c:v>Insecure Output Handling</c:v>
                </c:pt>
                <c:pt idx="6">
                  <c:v>Insecure Plugin &amp; Agency Design</c:v>
                </c:pt>
                <c:pt idx="7">
                  <c:v>Model Data Poisoning &amp; Supply Chain </c:v>
                </c:pt>
                <c:pt idx="8">
                  <c:v>Model Inversion &amp; Membership Inference</c:v>
                </c:pt>
                <c:pt idx="9">
                  <c:v>Model Red Teaming &amp; Continuous Evaluation</c:v>
                </c:pt>
                <c:pt idx="10">
                  <c:v>Overreliance, Hallucination &amp; Output Validation</c:v>
                </c:pt>
                <c:pt idx="11">
                  <c:v>Prompt Injection Defenses</c:v>
                </c:pt>
                <c:pt idx="12">
                  <c:v>Serverless/Vector Database Network Isolation</c:v>
                </c:pt>
                <c:pt idx="13">
                  <c:v>Training Data &amp; Model Secret Theft</c:v>
                </c:pt>
                <c:pt idx="14">
                  <c:v>Training Data Privacy &amp; PII Leakage</c:v>
                </c:pt>
              </c:strCache>
            </c:strRef>
          </c:cat>
          <c:val>
            <c:numRef>
              <c:f>Dashboards!$C$27:$C$42</c:f>
              <c:numCache>
                <c:formatCode>0</c:formatCode>
                <c:ptCount val="15"/>
                <c:pt idx="0">
                  <c:v>2</c:v>
                </c:pt>
                <c:pt idx="1">
                  <c:v>3</c:v>
                </c:pt>
                <c:pt idx="2">
                  <c:v>2</c:v>
                </c:pt>
                <c:pt idx="3">
                  <c:v>2</c:v>
                </c:pt>
                <c:pt idx="4">
                  <c:v>2</c:v>
                </c:pt>
                <c:pt idx="5">
                  <c:v>3</c:v>
                </c:pt>
                <c:pt idx="6">
                  <c:v>1</c:v>
                </c:pt>
                <c:pt idx="7">
                  <c:v>2</c:v>
                </c:pt>
                <c:pt idx="8">
                  <c:v>1</c:v>
                </c:pt>
                <c:pt idx="9">
                  <c:v>3</c:v>
                </c:pt>
                <c:pt idx="10">
                  <c:v>1</c:v>
                </c:pt>
                <c:pt idx="11">
                  <c:v>3</c:v>
                </c:pt>
                <c:pt idx="12">
                  <c:v>1</c:v>
                </c:pt>
                <c:pt idx="13">
                  <c:v>2</c:v>
                </c:pt>
                <c:pt idx="14">
                  <c:v>2</c:v>
                </c:pt>
              </c:numCache>
            </c:numRef>
          </c:val>
          <c:extLst>
            <c:ext xmlns:c16="http://schemas.microsoft.com/office/drawing/2014/chart" uri="{C3380CC4-5D6E-409C-BE32-E72D297353CC}">
              <c16:uniqueId val="{00000000-88C8-4309-866F-DF863846EAAD}"/>
            </c:ext>
          </c:extLst>
        </c:ser>
        <c:ser>
          <c:idx val="1"/>
          <c:order val="1"/>
          <c:tx>
            <c:strRef>
              <c:f>Dashboards!$D$26</c:f>
              <c:strCache>
                <c:ptCount val="1"/>
                <c:pt idx="0">
                  <c:v>Sum of Weighted Scores</c:v>
                </c:pt>
              </c:strCache>
            </c:strRef>
          </c:tx>
          <c:spPr>
            <a:solidFill>
              <a:schemeClr val="accent2"/>
            </a:solidFill>
            <a:ln>
              <a:noFill/>
            </a:ln>
            <a:effectLst/>
          </c:spPr>
          <c:invertIfNegative val="0"/>
          <c:cat>
            <c:strRef>
              <c:f>Dashboards!$B$27:$B$42</c:f>
              <c:strCache>
                <c:ptCount val="15"/>
                <c:pt idx="0">
                  <c:v>AI Infrastructure Configuration Drift &amp; IaC</c:v>
                </c:pt>
                <c:pt idx="1">
                  <c:v>AI Logging, Shadow LLM Detection &amp; Observability</c:v>
                </c:pt>
                <c:pt idx="2">
                  <c:v>Cross-Model/SaaS AI API Trust Boundaries</c:v>
                </c:pt>
                <c:pt idx="3">
                  <c:v>DevSecOps for GenAI &amp; Pipeline Auditing</c:v>
                </c:pt>
                <c:pt idx="4">
                  <c:v>Excessive Agency &amp; Authorization Guardrails</c:v>
                </c:pt>
                <c:pt idx="5">
                  <c:v>Insecure Output Handling</c:v>
                </c:pt>
                <c:pt idx="6">
                  <c:v>Insecure Plugin &amp; Agency Design</c:v>
                </c:pt>
                <c:pt idx="7">
                  <c:v>Model Data Poisoning &amp; Supply Chain </c:v>
                </c:pt>
                <c:pt idx="8">
                  <c:v>Model Inversion &amp; Membership Inference</c:v>
                </c:pt>
                <c:pt idx="9">
                  <c:v>Model Red Teaming &amp; Continuous Evaluation</c:v>
                </c:pt>
                <c:pt idx="10">
                  <c:v>Overreliance, Hallucination &amp; Output Validation</c:v>
                </c:pt>
                <c:pt idx="11">
                  <c:v>Prompt Injection Defenses</c:v>
                </c:pt>
                <c:pt idx="12">
                  <c:v>Serverless/Vector Database Network Isolation</c:v>
                </c:pt>
                <c:pt idx="13">
                  <c:v>Training Data &amp; Model Secret Theft</c:v>
                </c:pt>
                <c:pt idx="14">
                  <c:v>Training Data Privacy &amp; PII Leakage</c:v>
                </c:pt>
              </c:strCache>
            </c:strRef>
          </c:cat>
          <c:val>
            <c:numRef>
              <c:f>Dashboards!$D$27:$D$42</c:f>
              <c:numCache>
                <c:formatCode>0.00</c:formatCode>
                <c:ptCount val="15"/>
                <c:pt idx="0">
                  <c:v>1.4</c:v>
                </c:pt>
                <c:pt idx="1">
                  <c:v>2.0999999999999996</c:v>
                </c:pt>
                <c:pt idx="2">
                  <c:v>1.1000000000000001</c:v>
                </c:pt>
                <c:pt idx="3">
                  <c:v>0.5</c:v>
                </c:pt>
                <c:pt idx="4">
                  <c:v>1.6</c:v>
                </c:pt>
                <c:pt idx="5">
                  <c:v>1.6500000000000001</c:v>
                </c:pt>
                <c:pt idx="6">
                  <c:v>0.8</c:v>
                </c:pt>
                <c:pt idx="7">
                  <c:v>0.875</c:v>
                </c:pt>
                <c:pt idx="8">
                  <c:v>0.65</c:v>
                </c:pt>
                <c:pt idx="9">
                  <c:v>2.4000000000000004</c:v>
                </c:pt>
                <c:pt idx="10">
                  <c:v>0.65</c:v>
                </c:pt>
                <c:pt idx="11">
                  <c:v>2.0999999999999996</c:v>
                </c:pt>
                <c:pt idx="12">
                  <c:v>0.5</c:v>
                </c:pt>
                <c:pt idx="13">
                  <c:v>1.4</c:v>
                </c:pt>
                <c:pt idx="14">
                  <c:v>1.3</c:v>
                </c:pt>
              </c:numCache>
            </c:numRef>
          </c:val>
          <c:extLst>
            <c:ext xmlns:c16="http://schemas.microsoft.com/office/drawing/2014/chart" uri="{C3380CC4-5D6E-409C-BE32-E72D297353CC}">
              <c16:uniqueId val="{00000002-88C8-4309-866F-DF863846EAAD}"/>
            </c:ext>
          </c:extLst>
        </c:ser>
        <c:dLbls>
          <c:showLegendKey val="0"/>
          <c:showVal val="0"/>
          <c:showCatName val="0"/>
          <c:showSerName val="0"/>
          <c:showPercent val="0"/>
          <c:showBubbleSize val="0"/>
        </c:dLbls>
        <c:gapWidth val="219"/>
        <c:overlap val="-27"/>
        <c:axId val="89123712"/>
        <c:axId val="2143590160"/>
      </c:barChart>
      <c:catAx>
        <c:axId val="891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90160"/>
        <c:crosses val="autoZero"/>
        <c:auto val="1"/>
        <c:lblAlgn val="ctr"/>
        <c:lblOffset val="100"/>
        <c:noMultiLvlLbl val="0"/>
      </c:catAx>
      <c:valAx>
        <c:axId val="2143590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179070</xdr:rowOff>
    </xdr:from>
    <xdr:to>
      <xdr:col>0</xdr:col>
      <xdr:colOff>4869180</xdr:colOff>
      <xdr:row>39</xdr:row>
      <xdr:rowOff>179070</xdr:rowOff>
    </xdr:to>
    <xdr:graphicFrame macro="">
      <xdr:nvGraphicFramePr>
        <xdr:cNvPr id="2" name="Chart 1">
          <a:extLst>
            <a:ext uri="{FF2B5EF4-FFF2-40B4-BE49-F238E27FC236}">
              <a16:creationId xmlns:a16="http://schemas.microsoft.com/office/drawing/2014/main" id="{5F0F5487-F4DD-9817-B93D-2953E1039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ulkarni" refreshedDate="46207.955987731482" createdVersion="8" refreshedVersion="8" minRefreshableVersion="3" recordCount="15" xr:uid="{FE1258FA-936E-478A-9C16-7D343F0AF5BF}">
  <cacheSource type="worksheet">
    <worksheetSource ref="A1:D16" sheet="Dashboards"/>
  </cacheSource>
  <cacheFields count="4">
    <cacheField name="Category" numFmtId="0">
      <sharedItems count="15">
        <s v="Prompt Injection Defenses"/>
        <s v="Insecure Output Handling"/>
        <s v="Training Data Privacy &amp; PII Leakage"/>
        <s v="Excessive Agency &amp; Authorization Guardrails"/>
        <s v="Model Data Poisoning &amp; Supply Chain "/>
        <s v="Model Inversion &amp; Membership Inference"/>
        <s v="Overreliance, Hallucination &amp; Output Validation"/>
        <s v="Insecure Plugin &amp; Agency Design"/>
        <s v="Serverless/Vector Database Network Isolation"/>
        <s v="AI Logging, Shadow LLM Detection &amp; Observability"/>
        <s v="AI Infrastructure Configuration Drift &amp; IaC"/>
        <s v="Cross-Model/SaaS AI API Trust Boundaries"/>
        <s v="Training Data &amp; Model Secret Theft"/>
        <s v="Model Red Teaming &amp; Continuous Evaluation"/>
        <s v="DevSecOps for GenAI &amp; Pipeline Auditing"/>
      </sharedItems>
    </cacheField>
    <cacheField name="Category Score Formula" numFmtId="2">
      <sharedItems containsSemiMixedTypes="0" containsString="0" containsNumber="1" minValue="0.25" maxValue="0.8"/>
    </cacheField>
    <cacheField name="Weight Multipliers" numFmtId="1">
      <sharedItems containsSemiMixedTypes="0" containsString="0" containsNumber="1" containsInteger="1" minValue="1" maxValue="3"/>
    </cacheField>
    <cacheField name="Weighted Scores" numFmtId="2">
      <sharedItems containsSemiMixedTypes="0" containsString="0" containsNumber="1" minValue="0.5" maxValue="2.400000000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0.7"/>
    <n v="3"/>
    <n v="2.0999999999999996"/>
  </r>
  <r>
    <x v="1"/>
    <n v="0.55000000000000004"/>
    <n v="3"/>
    <n v="1.6500000000000001"/>
  </r>
  <r>
    <x v="2"/>
    <n v="0.65"/>
    <n v="2"/>
    <n v="1.3"/>
  </r>
  <r>
    <x v="3"/>
    <n v="0.8"/>
    <n v="2"/>
    <n v="1.6"/>
  </r>
  <r>
    <x v="4"/>
    <n v="0.4375"/>
    <n v="2"/>
    <n v="0.875"/>
  </r>
  <r>
    <x v="5"/>
    <n v="0.65"/>
    <n v="1"/>
    <n v="0.65"/>
  </r>
  <r>
    <x v="6"/>
    <n v="0.65"/>
    <n v="1"/>
    <n v="0.65"/>
  </r>
  <r>
    <x v="7"/>
    <n v="0.8"/>
    <n v="1"/>
    <n v="0.8"/>
  </r>
  <r>
    <x v="8"/>
    <n v="0.5"/>
    <n v="1"/>
    <n v="0.5"/>
  </r>
  <r>
    <x v="9"/>
    <n v="0.7"/>
    <n v="3"/>
    <n v="2.0999999999999996"/>
  </r>
  <r>
    <x v="10"/>
    <n v="0.7"/>
    <n v="2"/>
    <n v="1.4"/>
  </r>
  <r>
    <x v="11"/>
    <n v="0.55000000000000004"/>
    <n v="2"/>
    <n v="1.1000000000000001"/>
  </r>
  <r>
    <x v="12"/>
    <n v="0.7"/>
    <n v="2"/>
    <n v="1.4"/>
  </r>
  <r>
    <x v="13"/>
    <n v="0.8"/>
    <n v="3"/>
    <n v="2.4000000000000004"/>
  </r>
  <r>
    <x v="14"/>
    <n v="0.25"/>
    <n v="2"/>
    <n v="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362B5-51BB-4876-8156-1807B0B386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6:D42" firstHeaderRow="0" firstDataRow="1" firstDataCol="1"/>
  <pivotFields count="4">
    <pivotField axis="axisRow" showAll="0">
      <items count="16">
        <item x="10"/>
        <item x="9"/>
        <item x="11"/>
        <item x="14"/>
        <item x="3"/>
        <item x="1"/>
        <item x="7"/>
        <item x="4"/>
        <item x="5"/>
        <item x="13"/>
        <item x="6"/>
        <item x="0"/>
        <item x="8"/>
        <item x="12"/>
        <item x="2"/>
        <item t="default"/>
      </items>
    </pivotField>
    <pivotField numFmtId="2" showAll="0"/>
    <pivotField dataField="1" numFmtId="1" showAll="0"/>
    <pivotField dataField="1" numFmtId="2"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Weight Multipliers" fld="2" baseField="0" baseItem="0" numFmtId="1"/>
    <dataField name="Sum of Weighted Scores" fld="3"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8E72AE-ABBA-4159-9EB4-F9B1702134FD}" name="Table1" displayName="Table1" ref="A1:D75" totalsRowShown="0" headerRowDxfId="8" headerRowBorderDxfId="7">
  <autoFilter ref="A1:D75" xr:uid="{E08E72AE-ABBA-4159-9EB4-F9B1702134FD}"/>
  <tableColumns count="4">
    <tableColumn id="1" xr3:uid="{721B51E7-5660-4BD7-B8A0-7848284F630A}" name="Category" dataDxfId="6"/>
    <tableColumn id="2" xr3:uid="{3E31CDC3-226E-42BE-ACCB-FF18C2512A0E}" name="Client-Specific Question" dataDxfId="5"/>
    <tableColumn id="3" xr3:uid="{66040C44-F6BD-4E20-BE2C-D0502675AA65}" name="User Priority" dataDxfId="1"/>
    <tableColumn id="4" xr3:uid="{584CD6C5-03A4-4232-9382-92565215A2B2}" name="User Score" dataDxfId="0">
      <calculatedColumnFormula array="1">_xlfn.SWITCH(C2,"A", 0.25,"B", 0.5, "C", 0.75,"D", 1)</calculatedColumnFormula>
    </tableColumn>
  </tableColumns>
  <tableStyleInfo name="TableStyleDark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CFD09C-B86C-4D89-B776-87D4EFDD8456}" name="Table2" displayName="Table2" ref="A1:D23" totalsRowShown="0">
  <autoFilter ref="A1:D23" xr:uid="{73CFD09C-B86C-4D89-B776-87D4EFDD8456}"/>
  <tableColumns count="4">
    <tableColumn id="1" xr3:uid="{D9DBCA0E-A957-4C06-A9B6-F0926B8F491A}" name="Category"/>
    <tableColumn id="2" xr3:uid="{01A32F6E-6793-49B6-A57F-38885868B8C1}" name="Category Score Formula"/>
    <tableColumn id="3" xr3:uid="{8E69AE89-F347-4EDA-9366-39DDC48EECBC}" name="Weight Multipliers"/>
    <tableColumn id="4" xr3:uid="{F4066ADD-9C4E-4DE2-92D8-555680132D69}" name="Weighted Scores"/>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FFCA37-1604-4E39-9B7F-E2C35EE0A95C}" name="Table5" displayName="Table5" ref="A1:C5" totalsRowShown="0" headerRowDxfId="4">
  <autoFilter ref="A1:C5" xr:uid="{30FFCA37-1604-4E39-9B7F-E2C35EE0A95C}"/>
  <tableColumns count="3">
    <tableColumn id="1" xr3:uid="{65AABC64-590B-435D-B3E5-24000FEAC9DF}" name="States"/>
    <tableColumn id="2" xr3:uid="{93FA8E91-5865-400D-9A7E-9DC36F1F00A3}" name="Definitions" dataDxfId="3"/>
    <tableColumn id="3" xr3:uid="{47BF74F8-ED79-456A-9527-1AE8EA99A812}" name="Operational Impact" dataDxfId="2"/>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1769-FCDF-4B8B-B2E2-910F9E184AE9}">
  <dimension ref="A1:D77"/>
  <sheetViews>
    <sheetView topLeftCell="A73" workbookViewId="0">
      <selection activeCell="A77" sqref="A77"/>
    </sheetView>
  </sheetViews>
  <sheetFormatPr defaultRowHeight="14.4" x14ac:dyDescent="0.3"/>
  <cols>
    <col min="1" max="1" width="68.88671875" customWidth="1"/>
    <col min="2" max="2" width="122.109375" customWidth="1"/>
    <col min="3" max="3" width="33.77734375" customWidth="1"/>
    <col min="4" max="4" width="32.5546875" customWidth="1"/>
    <col min="5" max="5" width="40.5546875" customWidth="1"/>
  </cols>
  <sheetData>
    <row r="1" spans="1:4" ht="21.6" thickBot="1" x14ac:dyDescent="0.35">
      <c r="A1" s="1" t="s">
        <v>0</v>
      </c>
      <c r="B1" s="1" t="s">
        <v>1</v>
      </c>
      <c r="C1" s="1" t="s">
        <v>2</v>
      </c>
      <c r="D1" s="1" t="s">
        <v>3</v>
      </c>
    </row>
    <row r="2" spans="1:4" ht="93.6" x14ac:dyDescent="0.35">
      <c r="A2" s="3" t="s">
        <v>16</v>
      </c>
      <c r="B2" s="4" t="s">
        <v>17</v>
      </c>
      <c r="C2" s="25" t="s">
        <v>7</v>
      </c>
      <c r="D2" s="26" cm="1">
        <f t="array" ref="D2">_xlfn.SWITCH(C2,"A", 0.25,"B", 0.5, "C", 0.75,"D", 1)</f>
        <v>1</v>
      </c>
    </row>
    <row r="3" spans="1:4" ht="93.6" x14ac:dyDescent="0.35">
      <c r="A3" s="3" t="s">
        <v>16</v>
      </c>
      <c r="B3" s="4" t="s">
        <v>18</v>
      </c>
      <c r="C3" s="25" t="s">
        <v>7</v>
      </c>
      <c r="D3" s="26" cm="1">
        <f t="array" ref="D3">_xlfn.SWITCH(C3,"A", 0.25,"B", 0.5, "C", 0.75,"D", 1)</f>
        <v>1</v>
      </c>
    </row>
    <row r="4" spans="1:4" ht="93.6" x14ac:dyDescent="0.35">
      <c r="A4" s="3" t="s">
        <v>16</v>
      </c>
      <c r="B4" s="4" t="s">
        <v>19</v>
      </c>
      <c r="C4" s="25" t="s">
        <v>7</v>
      </c>
      <c r="D4" s="26" cm="1">
        <f t="array" ref="D4">_xlfn.SWITCH(C4,"A", 0.25,"B", 0.5, "C", 0.75,"D", 1)</f>
        <v>1</v>
      </c>
    </row>
    <row r="5" spans="1:4" ht="93.6" x14ac:dyDescent="0.35">
      <c r="A5" s="3" t="s">
        <v>16</v>
      </c>
      <c r="B5" s="4" t="s">
        <v>20</v>
      </c>
      <c r="C5" s="25" t="s">
        <v>7</v>
      </c>
      <c r="D5" s="26" cm="1">
        <f t="array" ref="D5">_xlfn.SWITCH(C5,"A", 0.25,"B", 0.5, "C", 0.75,"D", 1)</f>
        <v>1</v>
      </c>
    </row>
    <row r="6" spans="1:4" ht="87.6" customHeight="1" x14ac:dyDescent="0.35">
      <c r="A6" s="3" t="s">
        <v>16</v>
      </c>
      <c r="B6" s="4" t="s">
        <v>21</v>
      </c>
      <c r="C6" s="25" t="s">
        <v>7</v>
      </c>
      <c r="D6" s="26" cm="1">
        <f t="array" ref="D6">_xlfn.SWITCH(C6,"A", 0.25,"B", 0.5, "C", 0.75,"D", 1)</f>
        <v>1</v>
      </c>
    </row>
    <row r="7" spans="1:4" ht="93.6" x14ac:dyDescent="0.3">
      <c r="A7" s="5" t="s">
        <v>22</v>
      </c>
      <c r="B7" s="6" t="s">
        <v>23</v>
      </c>
      <c r="C7" s="25" t="s">
        <v>7</v>
      </c>
      <c r="D7" s="26" cm="1">
        <f t="array" ref="D7">_xlfn.SWITCH(C7,"A", 0.25,"B", 0.5, "C", 0.75,"D", 1)</f>
        <v>1</v>
      </c>
    </row>
    <row r="8" spans="1:4" ht="93.6" x14ac:dyDescent="0.3">
      <c r="A8" s="5" t="s">
        <v>22</v>
      </c>
      <c r="B8" s="6" t="s">
        <v>24</v>
      </c>
      <c r="C8" s="25" t="s">
        <v>7</v>
      </c>
      <c r="D8" s="26" cm="1">
        <f t="array" ref="D8">_xlfn.SWITCH(C8,"A", 0.25,"B", 0.5, "C", 0.75,"D", 1)</f>
        <v>1</v>
      </c>
    </row>
    <row r="9" spans="1:4" ht="93.6" x14ac:dyDescent="0.3">
      <c r="A9" s="5" t="s">
        <v>22</v>
      </c>
      <c r="B9" s="6" t="s">
        <v>25</v>
      </c>
      <c r="C9" s="25" t="s">
        <v>7</v>
      </c>
      <c r="D9" s="26" cm="1">
        <f t="array" ref="D9">_xlfn.SWITCH(C9,"A", 0.25,"B", 0.5, "C", 0.75,"D", 1)</f>
        <v>1</v>
      </c>
    </row>
    <row r="10" spans="1:4" ht="93.6" x14ac:dyDescent="0.3">
      <c r="A10" s="5" t="s">
        <v>22</v>
      </c>
      <c r="B10" s="6" t="s">
        <v>26</v>
      </c>
      <c r="C10" s="25" t="s">
        <v>7</v>
      </c>
      <c r="D10" s="26" cm="1">
        <f t="array" ref="D10">_xlfn.SWITCH(C10,"A", 0.25,"B", 0.5, "C", 0.75,"D", 1)</f>
        <v>1</v>
      </c>
    </row>
    <row r="11" spans="1:4" ht="93.6" x14ac:dyDescent="0.3">
      <c r="A11" s="5" t="s">
        <v>22</v>
      </c>
      <c r="B11" s="6" t="s">
        <v>27</v>
      </c>
      <c r="C11" s="25" t="s">
        <v>7</v>
      </c>
      <c r="D11" s="26" cm="1">
        <f t="array" ref="D11">_xlfn.SWITCH(C11,"A", 0.25,"B", 0.5, "C", 0.75,"D", 1)</f>
        <v>1</v>
      </c>
    </row>
    <row r="12" spans="1:4" ht="99.6" customHeight="1" x14ac:dyDescent="0.35">
      <c r="A12" s="7" t="s">
        <v>28</v>
      </c>
      <c r="B12" s="6" t="s">
        <v>29</v>
      </c>
      <c r="C12" s="25" t="s">
        <v>7</v>
      </c>
      <c r="D12" s="26" cm="1">
        <f t="array" ref="D12">_xlfn.SWITCH(C12,"A", 0.25,"B", 0.5, "C", 0.75,"D", 1)</f>
        <v>1</v>
      </c>
    </row>
    <row r="13" spans="1:4" ht="94.2" x14ac:dyDescent="0.35">
      <c r="A13" s="7" t="s">
        <v>28</v>
      </c>
      <c r="B13" s="6" t="s">
        <v>30</v>
      </c>
      <c r="C13" s="25" t="s">
        <v>7</v>
      </c>
      <c r="D13" s="26" cm="1">
        <f t="array" ref="D13">_xlfn.SWITCH(C13,"A", 0.25,"B", 0.5, "C", 0.75,"D", 1)</f>
        <v>1</v>
      </c>
    </row>
    <row r="14" spans="1:4" ht="94.2" x14ac:dyDescent="0.35">
      <c r="A14" s="7" t="s">
        <v>28</v>
      </c>
      <c r="B14" s="6" t="s">
        <v>31</v>
      </c>
      <c r="C14" s="25" t="s">
        <v>7</v>
      </c>
      <c r="D14" s="26" cm="1">
        <f t="array" ref="D14">_xlfn.SWITCH(C14,"A", 0.25,"B", 0.5, "C", 0.75,"D", 1)</f>
        <v>1</v>
      </c>
    </row>
    <row r="15" spans="1:4" ht="98.4" customHeight="1" x14ac:dyDescent="0.35">
      <c r="A15" s="7" t="s">
        <v>28</v>
      </c>
      <c r="B15" s="6" t="s">
        <v>32</v>
      </c>
      <c r="C15" s="25" t="s">
        <v>7</v>
      </c>
      <c r="D15" s="26" cm="1">
        <f t="array" ref="D15">_xlfn.SWITCH(C15,"A", 0.25,"B", 0.5, "C", 0.75,"D", 1)</f>
        <v>1</v>
      </c>
    </row>
    <row r="16" spans="1:4" ht="94.2" x14ac:dyDescent="0.35">
      <c r="A16" s="7" t="s">
        <v>28</v>
      </c>
      <c r="B16" s="6" t="s">
        <v>33</v>
      </c>
      <c r="C16" s="25" t="s">
        <v>7</v>
      </c>
      <c r="D16" s="26" cm="1">
        <f t="array" ref="D16">_xlfn.SWITCH(C16,"A", 0.25,"B", 0.5, "C", 0.75,"D", 1)</f>
        <v>1</v>
      </c>
    </row>
    <row r="17" spans="1:4" ht="100.2" customHeight="1" x14ac:dyDescent="0.35">
      <c r="A17" s="3" t="s">
        <v>34</v>
      </c>
      <c r="B17" s="6" t="s">
        <v>35</v>
      </c>
      <c r="C17" s="25" t="s">
        <v>7</v>
      </c>
      <c r="D17" s="26" cm="1">
        <f t="array" ref="D17">_xlfn.SWITCH(C17,"A", 0.25,"B", 0.5, "C", 0.75,"D", 1)</f>
        <v>1</v>
      </c>
    </row>
    <row r="18" spans="1:4" ht="94.2" x14ac:dyDescent="0.35">
      <c r="A18" s="3" t="s">
        <v>34</v>
      </c>
      <c r="B18" s="6" t="s">
        <v>36</v>
      </c>
      <c r="C18" s="25" t="s">
        <v>7</v>
      </c>
      <c r="D18" s="26" cm="1">
        <f t="array" ref="D18">_xlfn.SWITCH(C18,"A", 0.25,"B", 0.5, "C", 0.75,"D", 1)</f>
        <v>1</v>
      </c>
    </row>
    <row r="19" spans="1:4" ht="94.2" x14ac:dyDescent="0.35">
      <c r="A19" s="3" t="s">
        <v>34</v>
      </c>
      <c r="B19" s="6" t="s">
        <v>37</v>
      </c>
      <c r="C19" s="25" t="s">
        <v>7</v>
      </c>
      <c r="D19" s="26" cm="1">
        <f t="array" ref="D19">_xlfn.SWITCH(C19,"A", 0.25,"B", 0.5, "C", 0.75,"D", 1)</f>
        <v>1</v>
      </c>
    </row>
    <row r="20" spans="1:4" ht="94.2" x14ac:dyDescent="0.35">
      <c r="A20" s="3" t="s">
        <v>34</v>
      </c>
      <c r="B20" s="6" t="s">
        <v>38</v>
      </c>
      <c r="C20" s="25" t="s">
        <v>7</v>
      </c>
      <c r="D20" s="26" cm="1">
        <f t="array" ref="D20">_xlfn.SWITCH(C20,"A", 0.25,"B", 0.5, "C", 0.75,"D", 1)</f>
        <v>1</v>
      </c>
    </row>
    <row r="21" spans="1:4" ht="114.6" customHeight="1" x14ac:dyDescent="0.35">
      <c r="A21" s="3" t="s">
        <v>34</v>
      </c>
      <c r="B21" s="6" t="s">
        <v>39</v>
      </c>
      <c r="C21" s="25" t="s">
        <v>7</v>
      </c>
      <c r="D21" s="26" cm="1">
        <f t="array" ref="D21">_xlfn.SWITCH(C21,"A", 0.25,"B", 0.5, "C", 0.75,"D", 1)</f>
        <v>1</v>
      </c>
    </row>
    <row r="22" spans="1:4" ht="124.8" customHeight="1" x14ac:dyDescent="0.35">
      <c r="A22" s="3" t="s">
        <v>40</v>
      </c>
      <c r="B22" s="6" t="s">
        <v>42</v>
      </c>
      <c r="C22" s="25" t="s">
        <v>7</v>
      </c>
      <c r="D22" s="26" cm="1">
        <f t="array" ref="D22">_xlfn.SWITCH(C22,"A", 0.25,"B", 0.5, "C", 0.75,"D", 1)</f>
        <v>1</v>
      </c>
    </row>
    <row r="23" spans="1:4" ht="163.80000000000001" customHeight="1" x14ac:dyDescent="0.35">
      <c r="A23" s="3" t="s">
        <v>40</v>
      </c>
      <c r="B23" s="6" t="s">
        <v>43</v>
      </c>
      <c r="C23" s="25" t="s">
        <v>7</v>
      </c>
      <c r="D23" s="26" cm="1">
        <f t="array" ref="D23">_xlfn.SWITCH(C23,"A", 0.25,"B", 0.5, "C", 0.75,"D", 1)</f>
        <v>1</v>
      </c>
    </row>
    <row r="24" spans="1:4" ht="101.4" customHeight="1" x14ac:dyDescent="0.35">
      <c r="A24" s="3" t="s">
        <v>40</v>
      </c>
      <c r="B24" s="6" t="s">
        <v>44</v>
      </c>
      <c r="C24" s="25" t="s">
        <v>7</v>
      </c>
      <c r="D24" s="26" cm="1">
        <f t="array" ref="D24">_xlfn.SWITCH(C24,"A", 0.25,"B", 0.5, "C", 0.75,"D", 1)</f>
        <v>1</v>
      </c>
    </row>
    <row r="25" spans="1:4" ht="124.2" customHeight="1" x14ac:dyDescent="0.35">
      <c r="A25" s="3" t="s">
        <v>40</v>
      </c>
      <c r="B25" s="6" t="s">
        <v>45</v>
      </c>
      <c r="C25" s="25" t="s">
        <v>7</v>
      </c>
      <c r="D25" s="26" cm="1">
        <f t="array" ref="D25">_xlfn.SWITCH(C25,"A", 0.25,"B", 0.5, "C", 0.75,"D", 1)</f>
        <v>1</v>
      </c>
    </row>
    <row r="26" spans="1:4" ht="120.6" customHeight="1" x14ac:dyDescent="0.35">
      <c r="A26" s="3" t="s">
        <v>41</v>
      </c>
      <c r="B26" s="6" t="s">
        <v>46</v>
      </c>
      <c r="C26" s="25" t="s">
        <v>7</v>
      </c>
      <c r="D26" s="26" cm="1">
        <f t="array" ref="D26">_xlfn.SWITCH(C26,"A", 0.25,"B", 0.5, "C", 0.75,"D", 1)</f>
        <v>1</v>
      </c>
    </row>
    <row r="27" spans="1:4" ht="120.6" customHeight="1" x14ac:dyDescent="0.35">
      <c r="A27" s="7" t="s">
        <v>47</v>
      </c>
      <c r="B27" s="6" t="s">
        <v>48</v>
      </c>
      <c r="C27" s="25" t="s">
        <v>7</v>
      </c>
      <c r="D27" s="26" cm="1">
        <f t="array" ref="D27">_xlfn.SWITCH(C27,"A", 0.25,"B", 0.5, "C", 0.75,"D", 1)</f>
        <v>1</v>
      </c>
    </row>
    <row r="28" spans="1:4" ht="115.2" customHeight="1" x14ac:dyDescent="0.35">
      <c r="A28" s="7" t="s">
        <v>47</v>
      </c>
      <c r="B28" s="6" t="s">
        <v>48</v>
      </c>
      <c r="C28" s="25" t="s">
        <v>5</v>
      </c>
      <c r="D28" s="26" cm="1">
        <f t="array" ref="D28">_xlfn.SWITCH(C28,"A", 0.25,"B", 0.5, "C", 0.75,"D", 1)</f>
        <v>0.75</v>
      </c>
    </row>
    <row r="29" spans="1:4" ht="105.6" customHeight="1" x14ac:dyDescent="0.35">
      <c r="A29" s="7" t="s">
        <v>47</v>
      </c>
      <c r="B29" s="6" t="s">
        <v>49</v>
      </c>
      <c r="C29" s="25" t="s">
        <v>7</v>
      </c>
      <c r="D29" s="26" cm="1">
        <f t="array" ref="D29">_xlfn.SWITCH(C29,"A", 0.25,"B", 0.5, "C", 0.75,"D", 1)</f>
        <v>1</v>
      </c>
    </row>
    <row r="30" spans="1:4" ht="115.2" customHeight="1" x14ac:dyDescent="0.35">
      <c r="A30" s="7" t="s">
        <v>47</v>
      </c>
      <c r="B30" s="6" t="s">
        <v>50</v>
      </c>
      <c r="C30" s="25" t="s">
        <v>7</v>
      </c>
      <c r="D30" s="26" cm="1">
        <f t="array" ref="D30">_xlfn.SWITCH(C30,"A", 0.25,"B", 0.5, "C", 0.75,"D", 1)</f>
        <v>1</v>
      </c>
    </row>
    <row r="31" spans="1:4" ht="107.4" customHeight="1" x14ac:dyDescent="0.35">
      <c r="A31" s="7" t="s">
        <v>47</v>
      </c>
      <c r="B31" s="6" t="s">
        <v>51</v>
      </c>
      <c r="C31" s="25" t="s">
        <v>7</v>
      </c>
      <c r="D31" s="26" cm="1">
        <f t="array" ref="D31">_xlfn.SWITCH(C31,"A", 0.25,"B", 0.5, "C", 0.75,"D", 1)</f>
        <v>1</v>
      </c>
    </row>
    <row r="32" spans="1:4" ht="102.6" customHeight="1" x14ac:dyDescent="0.35">
      <c r="A32" s="7" t="s">
        <v>52</v>
      </c>
      <c r="B32" s="6" t="s">
        <v>53</v>
      </c>
      <c r="C32" s="25" t="s">
        <v>7</v>
      </c>
      <c r="D32" s="26" cm="1">
        <f t="array" ref="D32">_xlfn.SWITCH(C32,"A", 0.25,"B", 0.5, "C", 0.75,"D", 1)</f>
        <v>1</v>
      </c>
    </row>
    <row r="33" spans="1:4" ht="114" customHeight="1" x14ac:dyDescent="0.35">
      <c r="A33" s="7" t="s">
        <v>52</v>
      </c>
      <c r="B33" s="6" t="s">
        <v>54</v>
      </c>
      <c r="C33" s="25" t="s">
        <v>7</v>
      </c>
      <c r="D33" s="26" cm="1">
        <f t="array" ref="D33">_xlfn.SWITCH(C33,"A", 0.25,"B", 0.5, "C", 0.75,"D", 1)</f>
        <v>1</v>
      </c>
    </row>
    <row r="34" spans="1:4" ht="106.2" customHeight="1" x14ac:dyDescent="0.35">
      <c r="A34" s="7" t="s">
        <v>52</v>
      </c>
      <c r="B34" s="6" t="s">
        <v>55</v>
      </c>
      <c r="C34" s="25" t="s">
        <v>7</v>
      </c>
      <c r="D34" s="26" cm="1">
        <f t="array" ref="D34">_xlfn.SWITCH(C34,"A", 0.25,"B", 0.5, "C", 0.75,"D", 1)</f>
        <v>1</v>
      </c>
    </row>
    <row r="35" spans="1:4" ht="109.2" customHeight="1" x14ac:dyDescent="0.35">
      <c r="A35" s="7" t="s">
        <v>52</v>
      </c>
      <c r="B35" s="6" t="s">
        <v>56</v>
      </c>
      <c r="C35" s="25" t="s">
        <v>7</v>
      </c>
      <c r="D35" s="26" cm="1">
        <f t="array" ref="D35">_xlfn.SWITCH(C35,"A", 0.25,"B", 0.5, "C", 0.75,"D", 1)</f>
        <v>1</v>
      </c>
    </row>
    <row r="36" spans="1:4" ht="119.4" customHeight="1" x14ac:dyDescent="0.35">
      <c r="A36" s="7" t="s">
        <v>52</v>
      </c>
      <c r="B36" s="6" t="s">
        <v>57</v>
      </c>
      <c r="C36" s="25" t="s">
        <v>7</v>
      </c>
      <c r="D36" s="26" cm="1">
        <f t="array" ref="D36">_xlfn.SWITCH(C36,"A", 0.25,"B", 0.5, "C", 0.75,"D", 1)</f>
        <v>1</v>
      </c>
    </row>
    <row r="37" spans="1:4" ht="108" customHeight="1" x14ac:dyDescent="0.35">
      <c r="A37" s="7" t="s">
        <v>58</v>
      </c>
      <c r="B37" s="8" t="s">
        <v>59</v>
      </c>
      <c r="C37" s="25" t="s">
        <v>7</v>
      </c>
      <c r="D37" s="26" cm="1">
        <f t="array" ref="D37">_xlfn.SWITCH(C37,"A", 0.25,"B", 0.5, "C", 0.75,"D", 1)</f>
        <v>1</v>
      </c>
    </row>
    <row r="38" spans="1:4" ht="105" customHeight="1" x14ac:dyDescent="0.35">
      <c r="A38" s="7" t="s">
        <v>58</v>
      </c>
      <c r="B38" s="8" t="s">
        <v>60</v>
      </c>
      <c r="C38" s="25" t="s">
        <v>7</v>
      </c>
      <c r="D38" s="26" cm="1">
        <f t="array" ref="D38">_xlfn.SWITCH(C38,"A", 0.25,"B", 0.5, "C", 0.75,"D", 1)</f>
        <v>1</v>
      </c>
    </row>
    <row r="39" spans="1:4" ht="94.2" x14ac:dyDescent="0.35">
      <c r="A39" s="7" t="s">
        <v>58</v>
      </c>
      <c r="B39" s="8" t="s">
        <v>61</v>
      </c>
      <c r="C39" s="25" t="s">
        <v>7</v>
      </c>
      <c r="D39" s="26" cm="1">
        <f t="array" ref="D39">_xlfn.SWITCH(C39,"A", 0.25,"B", 0.5, "C", 0.75,"D", 1)</f>
        <v>1</v>
      </c>
    </row>
    <row r="40" spans="1:4" ht="99" customHeight="1" x14ac:dyDescent="0.35">
      <c r="A40" s="7" t="s">
        <v>58</v>
      </c>
      <c r="B40" s="8" t="s">
        <v>62</v>
      </c>
      <c r="C40" s="25" t="s">
        <v>7</v>
      </c>
      <c r="D40" s="26" cm="1">
        <f t="array" ref="D40">_xlfn.SWITCH(C40,"A", 0.25,"B", 0.5, "C", 0.75,"D", 1)</f>
        <v>1</v>
      </c>
    </row>
    <row r="41" spans="1:4" ht="101.4" customHeight="1" x14ac:dyDescent="0.35">
      <c r="A41" s="7" t="s">
        <v>58</v>
      </c>
      <c r="B41" s="8" t="s">
        <v>63</v>
      </c>
      <c r="C41" s="25" t="s">
        <v>7</v>
      </c>
      <c r="D41" s="26" cm="1">
        <f t="array" ref="D41">_xlfn.SWITCH(C41,"A", 0.25,"B", 0.5, "C", 0.75,"D", 1)</f>
        <v>1</v>
      </c>
    </row>
    <row r="42" spans="1:4" ht="110.4" customHeight="1" x14ac:dyDescent="0.35">
      <c r="A42" s="7" t="s">
        <v>64</v>
      </c>
      <c r="B42" s="8" t="s">
        <v>65</v>
      </c>
      <c r="C42" s="25" t="s">
        <v>7</v>
      </c>
      <c r="D42" s="26" cm="1">
        <f t="array" ref="D42">_xlfn.SWITCH(C42,"A", 0.25,"B", 0.5, "C", 0.75,"D", 1)</f>
        <v>1</v>
      </c>
    </row>
    <row r="43" spans="1:4" ht="102.6" customHeight="1" x14ac:dyDescent="0.35">
      <c r="A43" s="7" t="s">
        <v>64</v>
      </c>
      <c r="B43" s="8" t="s">
        <v>66</v>
      </c>
      <c r="C43" s="25" t="s">
        <v>7</v>
      </c>
      <c r="D43" s="26" cm="1">
        <f t="array" ref="D43">_xlfn.SWITCH(C43,"A", 0.25,"B", 0.5, "C", 0.75,"D", 1)</f>
        <v>1</v>
      </c>
    </row>
    <row r="44" spans="1:4" ht="105" customHeight="1" x14ac:dyDescent="0.35">
      <c r="A44" s="7" t="s">
        <v>64</v>
      </c>
      <c r="B44" s="8" t="s">
        <v>67</v>
      </c>
      <c r="C44" s="25" t="s">
        <v>7</v>
      </c>
      <c r="D44" s="26" cm="1">
        <f t="array" ref="D44">_xlfn.SWITCH(C44,"A", 0.25,"B", 0.5, "C", 0.75,"D", 1)</f>
        <v>1</v>
      </c>
    </row>
    <row r="45" spans="1:4" ht="119.4" customHeight="1" x14ac:dyDescent="0.35">
      <c r="A45" s="7" t="s">
        <v>64</v>
      </c>
      <c r="B45" s="8" t="s">
        <v>68</v>
      </c>
      <c r="C45" s="25" t="s">
        <v>7</v>
      </c>
      <c r="D45" s="26" cm="1">
        <f t="array" ref="D45">_xlfn.SWITCH(C45,"A", 0.25,"B", 0.5, "C", 0.75,"D", 1)</f>
        <v>1</v>
      </c>
    </row>
    <row r="46" spans="1:4" ht="109.8" customHeight="1" x14ac:dyDescent="0.35">
      <c r="A46" s="7" t="s">
        <v>69</v>
      </c>
      <c r="B46" s="8" t="s">
        <v>70</v>
      </c>
      <c r="C46" s="25" t="s">
        <v>7</v>
      </c>
      <c r="D46" s="26" cm="1">
        <f t="array" ref="D46">_xlfn.SWITCH(C46,"A", 0.25,"B", 0.5, "C", 0.75,"D", 1)</f>
        <v>1</v>
      </c>
    </row>
    <row r="47" spans="1:4" ht="106.2" customHeight="1" x14ac:dyDescent="0.35">
      <c r="A47" s="3" t="s">
        <v>69</v>
      </c>
      <c r="B47" s="6" t="s">
        <v>71</v>
      </c>
      <c r="C47" s="25" t="s">
        <v>7</v>
      </c>
      <c r="D47" s="26" cm="1">
        <f t="array" ref="D47">_xlfn.SWITCH(C47,"A", 0.25,"B", 0.5, "C", 0.75,"D", 1)</f>
        <v>1</v>
      </c>
    </row>
    <row r="48" spans="1:4" ht="100.2" customHeight="1" x14ac:dyDescent="0.35">
      <c r="A48" s="3" t="s">
        <v>69</v>
      </c>
      <c r="B48" s="6" t="s">
        <v>72</v>
      </c>
      <c r="C48" s="25" t="s">
        <v>7</v>
      </c>
      <c r="D48" s="26" cm="1">
        <f t="array" ref="D48">_xlfn.SWITCH(C48,"A", 0.25,"B", 0.5, "C", 0.75,"D", 1)</f>
        <v>1</v>
      </c>
    </row>
    <row r="49" spans="1:4" ht="109.8" x14ac:dyDescent="0.35">
      <c r="A49" s="3" t="s">
        <v>69</v>
      </c>
      <c r="B49" s="6" t="s">
        <v>73</v>
      </c>
      <c r="C49" s="25" t="s">
        <v>7</v>
      </c>
      <c r="D49" s="26" cm="1">
        <f t="array" ref="D49">_xlfn.SWITCH(C49,"A", 0.25,"B", 0.5, "C", 0.75,"D", 1)</f>
        <v>1</v>
      </c>
    </row>
    <row r="50" spans="1:4" ht="112.2" customHeight="1" x14ac:dyDescent="0.35">
      <c r="A50" s="3" t="s">
        <v>69</v>
      </c>
      <c r="B50" s="6" t="s">
        <v>74</v>
      </c>
      <c r="C50" s="25" t="s">
        <v>7</v>
      </c>
      <c r="D50" s="26" cm="1">
        <f t="array" ref="D50">_xlfn.SWITCH(C50,"A", 0.25,"B", 0.5, "C", 0.75,"D", 1)</f>
        <v>1</v>
      </c>
    </row>
    <row r="51" spans="1:4" ht="99.6" customHeight="1" x14ac:dyDescent="0.35">
      <c r="A51" s="3" t="s">
        <v>75</v>
      </c>
      <c r="B51" s="6" t="s">
        <v>76</v>
      </c>
      <c r="C51" s="25" t="s">
        <v>7</v>
      </c>
      <c r="D51" s="26" cm="1">
        <f t="array" ref="D51">_xlfn.SWITCH(C51,"A", 0.25,"B", 0.5, "C", 0.75,"D", 1)</f>
        <v>1</v>
      </c>
    </row>
    <row r="52" spans="1:4" ht="106.2" customHeight="1" x14ac:dyDescent="0.35">
      <c r="A52" s="3" t="s">
        <v>75</v>
      </c>
      <c r="B52" s="6" t="s">
        <v>78</v>
      </c>
      <c r="C52" s="25" t="s">
        <v>7</v>
      </c>
      <c r="D52" s="26" cm="1">
        <f t="array" ref="D52">_xlfn.SWITCH(C52,"A", 0.25,"B", 0.5, "C", 0.75,"D", 1)</f>
        <v>1</v>
      </c>
    </row>
    <row r="53" spans="1:4" ht="109.2" customHeight="1" x14ac:dyDescent="0.35">
      <c r="A53" s="3" t="s">
        <v>75</v>
      </c>
      <c r="B53" s="6" t="s">
        <v>77</v>
      </c>
      <c r="C53" s="25" t="s">
        <v>7</v>
      </c>
      <c r="D53" s="26" cm="1">
        <f t="array" ref="D53">_xlfn.SWITCH(C53,"A", 0.25,"B", 0.5, "C", 0.75,"D", 1)</f>
        <v>1</v>
      </c>
    </row>
    <row r="54" spans="1:4" ht="117" customHeight="1" x14ac:dyDescent="0.35">
      <c r="A54" s="3" t="s">
        <v>75</v>
      </c>
      <c r="B54" s="6" t="s">
        <v>79</v>
      </c>
      <c r="C54" s="25" t="s">
        <v>7</v>
      </c>
      <c r="D54" s="26" cm="1">
        <f t="array" ref="D54">_xlfn.SWITCH(C54,"A", 0.25,"B", 0.5, "C", 0.75,"D", 1)</f>
        <v>1</v>
      </c>
    </row>
    <row r="55" spans="1:4" ht="102.6" customHeight="1" x14ac:dyDescent="0.35">
      <c r="A55" s="3" t="s">
        <v>75</v>
      </c>
      <c r="B55" s="6" t="s">
        <v>80</v>
      </c>
      <c r="C55" s="25" t="s">
        <v>7</v>
      </c>
      <c r="D55" s="26" cm="1">
        <f t="array" ref="D55">_xlfn.SWITCH(C55,"A", 0.25,"B", 0.5, "C", 0.75,"D", 1)</f>
        <v>1</v>
      </c>
    </row>
    <row r="56" spans="1:4" ht="94.2" x14ac:dyDescent="0.35">
      <c r="A56" s="7" t="s">
        <v>81</v>
      </c>
      <c r="B56" s="6" t="s">
        <v>82</v>
      </c>
      <c r="C56" s="25" t="s">
        <v>7</v>
      </c>
      <c r="D56" s="26" cm="1">
        <f t="array" ref="D56">_xlfn.SWITCH(C56,"A", 0.25,"B", 0.5, "C", 0.75,"D", 1)</f>
        <v>1</v>
      </c>
    </row>
    <row r="57" spans="1:4" ht="107.4" customHeight="1" x14ac:dyDescent="0.35">
      <c r="A57" s="7" t="s">
        <v>81</v>
      </c>
      <c r="B57" s="6" t="s">
        <v>83</v>
      </c>
      <c r="C57" s="25" t="s">
        <v>7</v>
      </c>
      <c r="D57" s="26" cm="1">
        <f t="array" ref="D57">_xlfn.SWITCH(C57,"A", 0.25,"B", 0.5, "C", 0.75,"D", 1)</f>
        <v>1</v>
      </c>
    </row>
    <row r="58" spans="1:4" ht="99" customHeight="1" x14ac:dyDescent="0.35">
      <c r="A58" s="7" t="s">
        <v>81</v>
      </c>
      <c r="B58" s="6" t="s">
        <v>84</v>
      </c>
      <c r="C58" s="25" t="s">
        <v>6</v>
      </c>
      <c r="D58" s="26" cm="1">
        <f t="array" ref="D58">_xlfn.SWITCH(C58,"A", 0.25,"B", 0.5, "C", 0.75,"D", 1)</f>
        <v>0.25</v>
      </c>
    </row>
    <row r="59" spans="1:4" ht="108.6" customHeight="1" x14ac:dyDescent="0.35">
      <c r="A59" s="7" t="s">
        <v>81</v>
      </c>
      <c r="B59" s="6" t="s">
        <v>85</v>
      </c>
      <c r="C59" s="25" t="s">
        <v>4</v>
      </c>
      <c r="D59" s="26" cm="1">
        <f t="array" ref="D59">_xlfn.SWITCH(C59,"A", 0.25,"B", 0.5, "C", 0.75,"D", 1)</f>
        <v>0.5</v>
      </c>
    </row>
    <row r="60" spans="1:4" ht="104.4" customHeight="1" x14ac:dyDescent="0.35">
      <c r="A60" s="7" t="s">
        <v>81</v>
      </c>
      <c r="B60" s="6" t="s">
        <v>86</v>
      </c>
      <c r="C60" s="25" t="s">
        <v>5</v>
      </c>
      <c r="D60" s="26" cm="1">
        <f t="array" ref="D60">_xlfn.SWITCH(C60,"A", 0.25,"B", 0.5, "C", 0.75,"D", 1)</f>
        <v>0.75</v>
      </c>
    </row>
    <row r="61" spans="1:4" ht="101.4" customHeight="1" x14ac:dyDescent="0.35">
      <c r="A61" s="7" t="s">
        <v>87</v>
      </c>
      <c r="B61" s="6" t="s">
        <v>88</v>
      </c>
      <c r="C61" s="25" t="s">
        <v>7</v>
      </c>
      <c r="D61" s="26" cm="1">
        <f t="array" ref="D61">_xlfn.SWITCH(C61,"A", 0.25,"B", 0.5, "C", 0.75,"D", 1)</f>
        <v>1</v>
      </c>
    </row>
    <row r="62" spans="1:4" ht="109.2" customHeight="1" x14ac:dyDescent="0.35">
      <c r="A62" s="7" t="s">
        <v>87</v>
      </c>
      <c r="B62" s="6" t="s">
        <v>89</v>
      </c>
      <c r="C62" s="25" t="s">
        <v>7</v>
      </c>
      <c r="D62" s="26" cm="1">
        <f t="array" ref="D62">_xlfn.SWITCH(C62,"A", 0.25,"B", 0.5, "C", 0.75,"D", 1)</f>
        <v>1</v>
      </c>
    </row>
    <row r="63" spans="1:4" ht="97.8" customHeight="1" x14ac:dyDescent="0.35">
      <c r="A63" s="7" t="s">
        <v>87</v>
      </c>
      <c r="B63" s="6" t="s">
        <v>90</v>
      </c>
      <c r="C63" s="25" t="s">
        <v>7</v>
      </c>
      <c r="D63" s="26" cm="1">
        <f t="array" ref="D63">_xlfn.SWITCH(C63,"A", 0.25,"B", 0.5, "C", 0.75,"D", 1)</f>
        <v>1</v>
      </c>
    </row>
    <row r="64" spans="1:4" ht="100.8" customHeight="1" x14ac:dyDescent="0.35">
      <c r="A64" s="7" t="s">
        <v>87</v>
      </c>
      <c r="B64" s="6" t="s">
        <v>92</v>
      </c>
      <c r="C64" s="25" t="s">
        <v>7</v>
      </c>
      <c r="D64" s="26" cm="1">
        <f t="array" ref="D64">_xlfn.SWITCH(C64,"A", 0.25,"B", 0.5, "C", 0.75,"D", 1)</f>
        <v>1</v>
      </c>
    </row>
    <row r="65" spans="1:4" ht="103.2" customHeight="1" x14ac:dyDescent="0.35">
      <c r="A65" s="7" t="s">
        <v>87</v>
      </c>
      <c r="B65" s="6" t="s">
        <v>91</v>
      </c>
      <c r="C65" s="25" t="s">
        <v>7</v>
      </c>
      <c r="D65" s="26" cm="1">
        <f t="array" ref="D65">_xlfn.SWITCH(C65,"A", 0.25,"B", 0.5, "C", 0.75,"D", 1)</f>
        <v>1</v>
      </c>
    </row>
    <row r="66" spans="1:4" ht="103.2" customHeight="1" x14ac:dyDescent="0.35">
      <c r="A66" s="7" t="s">
        <v>93</v>
      </c>
      <c r="B66" s="6" t="s">
        <v>94</v>
      </c>
      <c r="C66" s="25" t="s">
        <v>7</v>
      </c>
      <c r="D66" s="26" cm="1">
        <f t="array" ref="D66">_xlfn.SWITCH(C66,"A", 0.25,"B", 0.5, "C", 0.75,"D", 1)</f>
        <v>1</v>
      </c>
    </row>
    <row r="67" spans="1:4" ht="109.2" customHeight="1" x14ac:dyDescent="0.35">
      <c r="A67" s="7" t="s">
        <v>93</v>
      </c>
      <c r="B67" s="6" t="s">
        <v>95</v>
      </c>
      <c r="C67" s="25" t="s">
        <v>7</v>
      </c>
      <c r="D67" s="26" cm="1">
        <f t="array" ref="D67">_xlfn.SWITCH(C67,"A", 0.25,"B", 0.5, "C", 0.75,"D", 1)</f>
        <v>1</v>
      </c>
    </row>
    <row r="68" spans="1:4" ht="108.6" customHeight="1" x14ac:dyDescent="0.35">
      <c r="A68" s="7" t="s">
        <v>93</v>
      </c>
      <c r="B68" s="6" t="s">
        <v>96</v>
      </c>
      <c r="C68" s="25" t="s">
        <v>7</v>
      </c>
      <c r="D68" s="26" cm="1">
        <f t="array" ref="D68">_xlfn.SWITCH(C68,"A", 0.25,"B", 0.5, "C", 0.75,"D", 1)</f>
        <v>1</v>
      </c>
    </row>
    <row r="69" spans="1:4" ht="98.4" customHeight="1" x14ac:dyDescent="0.35">
      <c r="A69" s="7" t="s">
        <v>93</v>
      </c>
      <c r="B69" s="6" t="s">
        <v>97</v>
      </c>
      <c r="C69" s="25" t="s">
        <v>7</v>
      </c>
      <c r="D69" s="26" cm="1">
        <f t="array" ref="D69">_xlfn.SWITCH(C69,"A", 0.25,"B", 0.5, "C", 0.75,"D", 1)</f>
        <v>1</v>
      </c>
    </row>
    <row r="70" spans="1:4" ht="105" customHeight="1" x14ac:dyDescent="0.35">
      <c r="A70" s="7" t="s">
        <v>93</v>
      </c>
      <c r="B70" s="6" t="s">
        <v>98</v>
      </c>
      <c r="C70" s="25" t="s">
        <v>7</v>
      </c>
      <c r="D70" s="26" cm="1">
        <f t="array" ref="D70">_xlfn.SWITCH(C70,"A", 0.25,"B", 0.5, "C", 0.75,"D", 1)</f>
        <v>1</v>
      </c>
    </row>
    <row r="71" spans="1:4" ht="109.8" customHeight="1" x14ac:dyDescent="0.35">
      <c r="A71" s="7" t="s">
        <v>105</v>
      </c>
      <c r="B71" s="6" t="s">
        <v>100</v>
      </c>
      <c r="C71" s="25" t="s">
        <v>7</v>
      </c>
      <c r="D71" s="26" cm="1">
        <f t="array" ref="D71">_xlfn.SWITCH(C71,"A", 0.25,"B", 0.5, "C", 0.75,"D", 1)</f>
        <v>1</v>
      </c>
    </row>
    <row r="72" spans="1:4" ht="105.6" customHeight="1" x14ac:dyDescent="0.35">
      <c r="A72" s="7" t="s">
        <v>99</v>
      </c>
      <c r="B72" s="6" t="s">
        <v>101</v>
      </c>
      <c r="C72" s="25" t="s">
        <v>7</v>
      </c>
      <c r="D72" s="26" cm="1">
        <f t="array" ref="D72">_xlfn.SWITCH(C72,"A", 0.25,"B", 0.5, "C", 0.75,"D", 1)</f>
        <v>1</v>
      </c>
    </row>
    <row r="73" spans="1:4" ht="118.8" customHeight="1" x14ac:dyDescent="0.35">
      <c r="A73" s="7" t="s">
        <v>99</v>
      </c>
      <c r="B73" s="6" t="s">
        <v>102</v>
      </c>
      <c r="C73" s="25" t="s">
        <v>7</v>
      </c>
      <c r="D73" s="26" cm="1">
        <f t="array" ref="D73">_xlfn.SWITCH(C73,"A", 0.25,"B", 0.5, "C", 0.75,"D", 1)</f>
        <v>1</v>
      </c>
    </row>
    <row r="74" spans="1:4" ht="94.2" x14ac:dyDescent="0.35">
      <c r="A74" s="7" t="s">
        <v>99</v>
      </c>
      <c r="B74" s="6" t="s">
        <v>103</v>
      </c>
      <c r="C74" s="25" t="s">
        <v>7</v>
      </c>
      <c r="D74" s="26" cm="1">
        <f t="array" ref="D74">_xlfn.SWITCH(C74,"A", 0.25,"B", 0.5, "C", 0.75,"D", 1)</f>
        <v>1</v>
      </c>
    </row>
    <row r="75" spans="1:4" ht="109.8" x14ac:dyDescent="0.35">
      <c r="A75" s="7" t="s">
        <v>99</v>
      </c>
      <c r="B75" s="6" t="s">
        <v>104</v>
      </c>
      <c r="C75" s="25" t="s">
        <v>7</v>
      </c>
      <c r="D75" s="26" cm="1">
        <f t="array" ref="D75">_xlfn.SWITCH(C75,"A", 0.25,"B", 0.5, "C", 0.75,"D", 1)</f>
        <v>1</v>
      </c>
    </row>
    <row r="77" spans="1:4" ht="15.6" x14ac:dyDescent="0.3">
      <c r="A77" s="24" t="s">
        <v>122</v>
      </c>
    </row>
  </sheetData>
  <sheetProtection algorithmName="SHA-512" hashValue="WZ0qwe+upR/hyvaO1quMMFI1p1zs5FyXGvG9o134XT0d0LLbfRQ4e3YmF5UBV79XQFgcK94JrBwwRzH2sWbfzQ==" saltValue="JjNlYGJGbT08zVRtp1IoSg==" spinCount="100000" sheet="1" objects="1" scenarios="1"/>
  <dataValidations xWindow="1284" yWindow="779" count="1">
    <dataValidation type="list" allowBlank="1" showInputMessage="1" showErrorMessage="1" promptTitle="Select Organization Response" prompt="Select 1 out of A,B,C,D" sqref="C2:C75" xr:uid="{38769ACA-BE52-4C22-A94E-0EFE0281E8FE}">
      <formula1>"A,B,C,D"</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F667-9237-424C-9FAB-1605BDA91A9B}">
  <dimension ref="A1:D44"/>
  <sheetViews>
    <sheetView topLeftCell="A28" workbookViewId="0">
      <selection activeCell="A44" sqref="A44"/>
    </sheetView>
  </sheetViews>
  <sheetFormatPr defaultRowHeight="14.4" x14ac:dyDescent="0.3"/>
  <cols>
    <col min="1" max="1" width="71.6640625" customWidth="1"/>
    <col min="2" max="2" width="42.5546875" bestFit="1" customWidth="1"/>
    <col min="3" max="3" width="26.33203125" customWidth="1"/>
    <col min="4" max="4" width="23.88671875" customWidth="1"/>
    <col min="5" max="5" width="24.21875" customWidth="1"/>
  </cols>
  <sheetData>
    <row r="1" spans="1:4" ht="49.2" customHeight="1" thickBot="1" x14ac:dyDescent="0.35">
      <c r="A1" s="1" t="s">
        <v>0</v>
      </c>
      <c r="B1" s="10" t="s">
        <v>8</v>
      </c>
      <c r="C1" s="11" t="s">
        <v>9</v>
      </c>
      <c r="D1" s="11" t="s">
        <v>10</v>
      </c>
    </row>
    <row r="2" spans="1:4" ht="18" x14ac:dyDescent="0.35">
      <c r="A2" s="7" t="s">
        <v>16</v>
      </c>
      <c r="B2" s="27">
        <f ca="1">AVERAGEIF(Inputs!$A$2:$A$73, A2, Inputs!$D$2:$D$72)</f>
        <v>1</v>
      </c>
      <c r="C2" s="28">
        <v>3</v>
      </c>
      <c r="D2" s="29">
        <f t="shared" ref="D2:D16" ca="1" si="0">B2*C2</f>
        <v>3</v>
      </c>
    </row>
    <row r="3" spans="1:4" ht="18" x14ac:dyDescent="0.35">
      <c r="A3" s="3" t="s">
        <v>22</v>
      </c>
      <c r="B3" s="27">
        <f ca="1">AVERAGEIF(Inputs!$A$2:$A$73, A3, Inputs!$D$2:$D$72)</f>
        <v>1</v>
      </c>
      <c r="C3" s="28">
        <v>3</v>
      </c>
      <c r="D3" s="29">
        <f t="shared" ca="1" si="0"/>
        <v>3</v>
      </c>
    </row>
    <row r="4" spans="1:4" ht="18" x14ac:dyDescent="0.35">
      <c r="A4" s="3" t="s">
        <v>28</v>
      </c>
      <c r="B4" s="27">
        <f ca="1">AVERAGEIF(Inputs!$A$2:$A$73, A4, Inputs!$D$2:$D$72)</f>
        <v>1</v>
      </c>
      <c r="C4" s="28">
        <v>2</v>
      </c>
      <c r="D4" s="29">
        <f t="shared" ca="1" si="0"/>
        <v>2</v>
      </c>
    </row>
    <row r="5" spans="1:4" ht="18" x14ac:dyDescent="0.35">
      <c r="A5" s="7" t="s">
        <v>34</v>
      </c>
      <c r="B5" s="27">
        <f ca="1">AVERAGEIF(Inputs!$A$2:$A$73, A5, Inputs!$D$2:$D$72)</f>
        <v>1</v>
      </c>
      <c r="C5" s="28">
        <v>2</v>
      </c>
      <c r="D5" s="29">
        <f t="shared" ca="1" si="0"/>
        <v>2</v>
      </c>
    </row>
    <row r="6" spans="1:4" ht="18" x14ac:dyDescent="0.35">
      <c r="A6" s="7" t="s">
        <v>40</v>
      </c>
      <c r="B6" s="27">
        <f ca="1">AVERAGEIF(Inputs!$A$2:$A$73, A6, Inputs!$D$2:$D$72)</f>
        <v>1</v>
      </c>
      <c r="C6" s="28">
        <v>3</v>
      </c>
      <c r="D6" s="29">
        <f t="shared" ca="1" si="0"/>
        <v>3</v>
      </c>
    </row>
    <row r="7" spans="1:4" ht="18" x14ac:dyDescent="0.35">
      <c r="A7" s="7" t="s">
        <v>47</v>
      </c>
      <c r="B7" s="27">
        <f ca="1">AVERAGEIF(Inputs!$A$2:$A$73, A7, Inputs!$D$2:$D$72)</f>
        <v>0.95</v>
      </c>
      <c r="C7" s="28">
        <v>2</v>
      </c>
      <c r="D7" s="29">
        <f t="shared" ca="1" si="0"/>
        <v>1.9</v>
      </c>
    </row>
    <row r="8" spans="1:4" ht="18" x14ac:dyDescent="0.35">
      <c r="A8" s="3" t="s">
        <v>52</v>
      </c>
      <c r="B8" s="27">
        <f ca="1">AVERAGEIF(Inputs!$A$2:$A$73, A8, Inputs!$D$2:$D$72)</f>
        <v>1</v>
      </c>
      <c r="C8" s="28">
        <v>1</v>
      </c>
      <c r="D8" s="29">
        <f t="shared" ca="1" si="0"/>
        <v>1</v>
      </c>
    </row>
    <row r="9" spans="1:4" ht="18" x14ac:dyDescent="0.35">
      <c r="A9" s="3" t="s">
        <v>58</v>
      </c>
      <c r="B9" s="27">
        <f ca="1">AVERAGEIF(Inputs!$A$2:$A$73, A9, Inputs!$D$2:$D$72)</f>
        <v>1</v>
      </c>
      <c r="C9" s="28">
        <v>3</v>
      </c>
      <c r="D9" s="29">
        <f t="shared" ca="1" si="0"/>
        <v>3</v>
      </c>
    </row>
    <row r="10" spans="1:4" ht="18" x14ac:dyDescent="0.35">
      <c r="A10" s="7" t="s">
        <v>64</v>
      </c>
      <c r="B10" s="27">
        <f ca="1">AVERAGEIF(Inputs!$A$2:$A$73, A10, Inputs!$D$2:$D$72)</f>
        <v>1</v>
      </c>
      <c r="C10" s="28">
        <v>2</v>
      </c>
      <c r="D10" s="29">
        <f t="shared" ca="1" si="0"/>
        <v>2</v>
      </c>
    </row>
    <row r="11" spans="1:4" ht="18" x14ac:dyDescent="0.35">
      <c r="A11" s="7" t="s">
        <v>69</v>
      </c>
      <c r="B11" s="27">
        <f ca="1">AVERAGEIF(Inputs!$A$2:$A$73, A11, Inputs!$D$2:$D$72)</f>
        <v>1</v>
      </c>
      <c r="C11" s="28">
        <v>2</v>
      </c>
      <c r="D11" s="29">
        <f t="shared" ca="1" si="0"/>
        <v>2</v>
      </c>
    </row>
    <row r="12" spans="1:4" ht="18" x14ac:dyDescent="0.35">
      <c r="A12" s="7" t="s">
        <v>75</v>
      </c>
      <c r="B12" s="27">
        <f ca="1">AVERAGEIF(Inputs!$A$2:$A$73, A12, Inputs!$D$2:$D$72)</f>
        <v>1</v>
      </c>
      <c r="C12" s="28">
        <v>1</v>
      </c>
      <c r="D12" s="29">
        <f t="shared" ca="1" si="0"/>
        <v>1</v>
      </c>
    </row>
    <row r="13" spans="1:4" ht="18" x14ac:dyDescent="0.35">
      <c r="A13" s="7" t="s">
        <v>81</v>
      </c>
      <c r="B13" s="27">
        <f>AVERAGEIF(Inputs!$A$2:$A$75, A13, Inputs!$D$2:$D$75)</f>
        <v>0.7</v>
      </c>
      <c r="C13" s="28">
        <v>2</v>
      </c>
      <c r="D13" s="29">
        <f t="shared" si="0"/>
        <v>1.4</v>
      </c>
    </row>
    <row r="14" spans="1:4" ht="18" x14ac:dyDescent="0.35">
      <c r="A14" s="7" t="s">
        <v>87</v>
      </c>
      <c r="B14" s="27">
        <f>AVERAGEIF(Inputs!$A$2:$A$75, A14, Inputs!$D$2:$D$75)</f>
        <v>1</v>
      </c>
      <c r="C14" s="28">
        <v>3</v>
      </c>
      <c r="D14" s="29">
        <f t="shared" si="0"/>
        <v>3</v>
      </c>
    </row>
    <row r="15" spans="1:4" ht="18" x14ac:dyDescent="0.35">
      <c r="A15" s="7" t="s">
        <v>93</v>
      </c>
      <c r="B15" s="27">
        <f>AVERAGEIF(Inputs!$A$2:$A$75, A15, Inputs!$D$2:$D$75)</f>
        <v>1</v>
      </c>
      <c r="C15" s="28">
        <v>1</v>
      </c>
      <c r="D15" s="29">
        <f t="shared" si="0"/>
        <v>1</v>
      </c>
    </row>
    <row r="16" spans="1:4" ht="18" x14ac:dyDescent="0.35">
      <c r="A16" s="7" t="s">
        <v>105</v>
      </c>
      <c r="B16" s="27">
        <f>AVERAGEIF(Inputs!$A$2:$A$75, A16, Inputs!$D$2:$D$75)</f>
        <v>1</v>
      </c>
      <c r="C16" s="28">
        <v>2</v>
      </c>
      <c r="D16" s="29">
        <f t="shared" si="0"/>
        <v>2</v>
      </c>
    </row>
    <row r="17" spans="1:4" ht="18" x14ac:dyDescent="0.35">
      <c r="A17" s="7"/>
      <c r="B17" s="17"/>
      <c r="C17" s="18"/>
      <c r="D17" s="19"/>
    </row>
    <row r="20" spans="1:4" ht="18" x14ac:dyDescent="0.35">
      <c r="B20" s="13" t="s">
        <v>11</v>
      </c>
      <c r="C20" s="30">
        <f ca="1">SUM(D2:D16)/SUM(C2:C16)</f>
        <v>0.97812499999999991</v>
      </c>
    </row>
    <row r="22" spans="1:4" ht="45.6" customHeight="1" x14ac:dyDescent="0.35">
      <c r="B22" s="13" t="s">
        <v>121</v>
      </c>
      <c r="C22" s="31" t="str">
        <f ca="1">IF(C20&lt;=40%, "🟢 Optimized AI Security State", IF(C20&lt;=60%, "🟡 Resilient AI Security State", IF(C20&lt;=80%, "🟠 Elevated AI Risk Exposure", "🔴 Critical AI Security Threat Posture")))</f>
        <v>🔴 Critical AI Security Threat Posture</v>
      </c>
      <c r="D22" s="2"/>
    </row>
    <row r="26" spans="1:4" x14ac:dyDescent="0.3">
      <c r="B26" s="15" t="s">
        <v>12</v>
      </c>
      <c r="C26" t="s">
        <v>15</v>
      </c>
      <c r="D26" t="s">
        <v>14</v>
      </c>
    </row>
    <row r="27" spans="1:4" x14ac:dyDescent="0.3">
      <c r="B27" s="16" t="s">
        <v>75</v>
      </c>
      <c r="C27" s="12">
        <v>2</v>
      </c>
      <c r="D27" s="14">
        <v>1.4</v>
      </c>
    </row>
    <row r="28" spans="1:4" x14ac:dyDescent="0.3">
      <c r="B28" s="16" t="s">
        <v>69</v>
      </c>
      <c r="C28" s="12">
        <v>3</v>
      </c>
      <c r="D28" s="14">
        <v>2.0999999999999996</v>
      </c>
    </row>
    <row r="29" spans="1:4" x14ac:dyDescent="0.3">
      <c r="B29" s="16" t="s">
        <v>81</v>
      </c>
      <c r="C29" s="12">
        <v>2</v>
      </c>
      <c r="D29" s="14">
        <v>1.1000000000000001</v>
      </c>
    </row>
    <row r="30" spans="1:4" x14ac:dyDescent="0.3">
      <c r="B30" s="16" t="s">
        <v>105</v>
      </c>
      <c r="C30" s="12">
        <v>2</v>
      </c>
      <c r="D30" s="14">
        <v>0.5</v>
      </c>
    </row>
    <row r="31" spans="1:4" x14ac:dyDescent="0.3">
      <c r="B31" s="16" t="s">
        <v>34</v>
      </c>
      <c r="C31" s="12">
        <v>2</v>
      </c>
      <c r="D31" s="14">
        <v>1.6</v>
      </c>
    </row>
    <row r="32" spans="1:4" x14ac:dyDescent="0.3">
      <c r="B32" s="16" t="s">
        <v>22</v>
      </c>
      <c r="C32" s="12">
        <v>3</v>
      </c>
      <c r="D32" s="14">
        <v>1.6500000000000001</v>
      </c>
    </row>
    <row r="33" spans="1:4" x14ac:dyDescent="0.3">
      <c r="B33" s="16" t="s">
        <v>58</v>
      </c>
      <c r="C33" s="12">
        <v>1</v>
      </c>
      <c r="D33" s="14">
        <v>0.8</v>
      </c>
    </row>
    <row r="34" spans="1:4" x14ac:dyDescent="0.3">
      <c r="B34" s="16" t="s">
        <v>40</v>
      </c>
      <c r="C34" s="12">
        <v>2</v>
      </c>
      <c r="D34" s="14">
        <v>0.875</v>
      </c>
    </row>
    <row r="35" spans="1:4" x14ac:dyDescent="0.3">
      <c r="B35" s="16" t="s">
        <v>47</v>
      </c>
      <c r="C35" s="12">
        <v>1</v>
      </c>
      <c r="D35" s="14">
        <v>0.65</v>
      </c>
    </row>
    <row r="36" spans="1:4" x14ac:dyDescent="0.3">
      <c r="B36" s="16" t="s">
        <v>93</v>
      </c>
      <c r="C36" s="12">
        <v>3</v>
      </c>
      <c r="D36" s="14">
        <v>2.4000000000000004</v>
      </c>
    </row>
    <row r="37" spans="1:4" x14ac:dyDescent="0.3">
      <c r="B37" s="16" t="s">
        <v>52</v>
      </c>
      <c r="C37" s="12">
        <v>1</v>
      </c>
      <c r="D37" s="14">
        <v>0.65</v>
      </c>
    </row>
    <row r="38" spans="1:4" x14ac:dyDescent="0.3">
      <c r="B38" s="16" t="s">
        <v>16</v>
      </c>
      <c r="C38" s="12">
        <v>3</v>
      </c>
      <c r="D38" s="14">
        <v>2.0999999999999996</v>
      </c>
    </row>
    <row r="39" spans="1:4" x14ac:dyDescent="0.3">
      <c r="B39" s="16" t="s">
        <v>64</v>
      </c>
      <c r="C39" s="12">
        <v>1</v>
      </c>
      <c r="D39" s="14">
        <v>0.5</v>
      </c>
    </row>
    <row r="40" spans="1:4" x14ac:dyDescent="0.3">
      <c r="B40" s="16" t="s">
        <v>87</v>
      </c>
      <c r="C40" s="12">
        <v>2</v>
      </c>
      <c r="D40" s="14">
        <v>1.4</v>
      </c>
    </row>
    <row r="41" spans="1:4" x14ac:dyDescent="0.3">
      <c r="B41" s="16" t="s">
        <v>28</v>
      </c>
      <c r="C41" s="12">
        <v>2</v>
      </c>
      <c r="D41" s="14">
        <v>1.3</v>
      </c>
    </row>
    <row r="42" spans="1:4" x14ac:dyDescent="0.3">
      <c r="B42" s="16" t="s">
        <v>13</v>
      </c>
      <c r="C42" s="12">
        <v>30</v>
      </c>
      <c r="D42" s="14">
        <v>19.025000000000002</v>
      </c>
    </row>
    <row r="44" spans="1:4" ht="15.6" x14ac:dyDescent="0.3">
      <c r="A44" s="24" t="s">
        <v>122</v>
      </c>
    </row>
  </sheetData>
  <sheetProtection algorithmName="SHA-512" hashValue="iNj6bifhUrzTNqdSFbRwEvzMUUbxdIaCx6AlgTruQJ8AGxAKiXpZMOlZrnkspG3uAyIbW6hOXUDTSP1/sWajqA==" saltValue="gomNixtM0y/xdLiHCUbmyg==" spinCount="100000" sheet="1" objects="1" scenarios="1"/>
  <dataValidations disablePrompts="1" count="1">
    <dataValidation type="list" allowBlank="1" showInputMessage="1" showErrorMessage="1" promptTitle="Select Weight" prompt="Select 1 from (1,2,3,4)" sqref="C2:C17" xr:uid="{C7585D9D-7E7D-4094-AB10-9345EED1BEEF}">
      <formula1>"1,2,3"</formula1>
    </dataValidation>
  </dataValidations>
  <pageMargins left="0.7" right="0.7" top="0.75" bottom="0.75" header="0.3" footer="0.3"/>
  <ignoredErrors>
    <ignoredError sqref="B2:B16" unlockedFormula="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AB3C-9D76-48CC-B399-D4A50D69AD7B}">
  <dimension ref="A1:C7"/>
  <sheetViews>
    <sheetView tabSelected="1" workbookViewId="0">
      <selection activeCell="A7" sqref="A7"/>
    </sheetView>
  </sheetViews>
  <sheetFormatPr defaultRowHeight="14.4" x14ac:dyDescent="0.3"/>
  <cols>
    <col min="1" max="1" width="91.21875" customWidth="1"/>
    <col min="2" max="2" width="57.21875" customWidth="1"/>
    <col min="3" max="3" width="41" customWidth="1"/>
  </cols>
  <sheetData>
    <row r="1" spans="1:3" ht="18" x14ac:dyDescent="0.35">
      <c r="A1" s="13" t="s">
        <v>106</v>
      </c>
      <c r="B1" s="13" t="s">
        <v>117</v>
      </c>
      <c r="C1" s="13" t="s">
        <v>107</v>
      </c>
    </row>
    <row r="2" spans="1:3" ht="52.8" customHeight="1" x14ac:dyDescent="0.3">
      <c r="A2" s="21" t="s">
        <v>110</v>
      </c>
      <c r="B2" s="20" t="s">
        <v>108</v>
      </c>
      <c r="C2" s="20" t="s">
        <v>109</v>
      </c>
    </row>
    <row r="3" spans="1:3" ht="71.400000000000006" customHeight="1" x14ac:dyDescent="0.3">
      <c r="A3" s="9" t="s">
        <v>113</v>
      </c>
      <c r="B3" s="20" t="s">
        <v>111</v>
      </c>
      <c r="C3" s="22" t="s">
        <v>112</v>
      </c>
    </row>
    <row r="4" spans="1:3" ht="70.8" customHeight="1" x14ac:dyDescent="0.3">
      <c r="A4" s="23" t="s">
        <v>115</v>
      </c>
      <c r="B4" s="20" t="s">
        <v>114</v>
      </c>
      <c r="C4" s="22" t="s">
        <v>116</v>
      </c>
    </row>
    <row r="5" spans="1:3" ht="65.400000000000006" customHeight="1" x14ac:dyDescent="0.3">
      <c r="A5" s="9" t="s">
        <v>120</v>
      </c>
      <c r="B5" s="20" t="s">
        <v>118</v>
      </c>
      <c r="C5" s="22" t="s">
        <v>119</v>
      </c>
    </row>
    <row r="7" spans="1:3" ht="15.6" x14ac:dyDescent="0.3">
      <c r="A7" s="24" t="s">
        <v>122</v>
      </c>
    </row>
  </sheetData>
  <sheetProtection algorithmName="SHA-512" hashValue="TyumWis8VNEBafzSS+DSoV26D1oY9kimD8AIr57x+iKH4IHFZ1Ft8w2vfAQXueUrHhWdimeLV15mACNJX2Vjyw==" saltValue="EzkTZCxvyR1XxeLeXCYSjQ==" spinCount="100000"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Inputs</vt:lpstr>
      <vt:lpstr>Dashboards</vt:lpstr>
      <vt:lpstr>Results 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2026-06-30T07:59:32Z</dcterms:created>
  <dcterms:modified xsi:type="dcterms:W3CDTF">2026-10-30T20:44:54Z</dcterms:modified>
</cp:coreProperties>
</file>