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Amit\eBooks\Interview Quick Rampup\Fractional Architect Consulting &amp; Freelancing\UPWORK &amp; TOPMATE FILES AND PRODUCTS\CLOUD_SECURITY_ASSESSMENT\"/>
    </mc:Choice>
  </mc:AlternateContent>
  <xr:revisionPtr revIDLastSave="0" documentId="13_ncr:1_{63F3A31D-43C0-4506-AF29-E6F927A087C5}" xr6:coauthVersionLast="47" xr6:coauthVersionMax="47" xr10:uidLastSave="{00000000-0000-0000-0000-000000000000}"/>
  <bookViews>
    <workbookView xWindow="-108" yWindow="-108" windowWidth="23256" windowHeight="12456" activeTab="2" xr2:uid="{D62D5DFD-F87A-4D1C-B4C2-9718B4BFE1A3}"/>
  </bookViews>
  <sheets>
    <sheet name="User_Responses" sheetId="1" r:id="rId1"/>
    <sheet name="Results" sheetId="3" r:id="rId2"/>
    <sheet name="Results Interpretation" sheetId="2" r:id="rId3"/>
  </sheets>
  <calcPr calcId="191029"/>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a="1"/>
  <c r="D4" i="1" a="1"/>
  <c r="D5" i="1" a="1"/>
  <c r="D6" i="1" a="1"/>
  <c r="D7" i="1" a="1"/>
  <c r="D8" i="1" a="1"/>
  <c r="D9" i="1" a="1"/>
  <c r="D10" i="1" a="1"/>
  <c r="D11" i="1" a="1"/>
  <c r="D12" i="1" a="1"/>
  <c r="D13" i="1" a="1"/>
  <c r="D14" i="1" a="1"/>
  <c r="D2" i="1" a="1"/>
  <c r="B14" i="3"/>
  <c r="D14" i="3" s="1"/>
  <c r="D16" i="1" a="1"/>
  <c r="D17" i="1" a="1"/>
  <c r="D18" i="1" a="1"/>
  <c r="D19" i="1" a="1"/>
  <c r="D20" i="1" a="1"/>
  <c r="D21" i="1" a="1"/>
  <c r="D22" i="1" a="1"/>
  <c r="D23" i="1" a="1"/>
  <c r="D24" i="1" a="1"/>
  <c r="D25" i="1" a="1"/>
  <c r="D26" i="1" a="1"/>
  <c r="D27" i="1" a="1"/>
  <c r="D28" i="1" a="1"/>
  <c r="D29" i="1" a="1"/>
  <c r="D30" i="1" a="1"/>
  <c r="D31" i="1" a="1"/>
  <c r="D32" i="1" a="1"/>
  <c r="D33" i="1" a="1"/>
  <c r="D34" i="1" a="1"/>
  <c r="D35" i="1" a="1"/>
  <c r="D36" i="1" a="1"/>
  <c r="D37" i="1" a="1"/>
  <c r="D38" i="1" a="1"/>
  <c r="D39" i="1" a="1"/>
  <c r="D40" i="1" a="1"/>
  <c r="D41" i="1" a="1"/>
  <c r="D42" i="1" a="1"/>
  <c r="D43" i="1" a="1"/>
  <c r="D44" i="1" a="1"/>
  <c r="D45" i="1" a="1"/>
  <c r="D46" i="1" a="1"/>
  <c r="D47" i="1" a="1"/>
  <c r="D48" i="1" a="1"/>
  <c r="D49" i="1" a="1"/>
  <c r="D50" i="1" a="1"/>
  <c r="D51" i="1" a="1"/>
  <c r="D52" i="1" a="1"/>
  <c r="D53" i="1" a="1"/>
  <c r="B13" i="3" s="1"/>
  <c r="D13" i="3" s="1"/>
  <c r="D54" i="1" a="1"/>
  <c r="D55" i="1" a="1"/>
  <c r="D56" i="1" a="1"/>
  <c r="D57" i="1" a="1"/>
  <c r="D58" i="1" a="1"/>
  <c r="D59" i="1" a="1"/>
  <c r="D60" i="1" a="1"/>
  <c r="D61" i="1" a="1"/>
  <c r="D62" i="1" a="1"/>
  <c r="D63" i="1" a="1"/>
  <c r="D64" i="1" a="1"/>
  <c r="D65" i="1" a="1"/>
  <c r="D66" i="1" a="1"/>
  <c r="D67" i="1" a="1"/>
  <c r="D68" i="1" a="1"/>
  <c r="D69" i="1" a="1"/>
  <c r="D70" i="1" a="1"/>
  <c r="D71" i="1" a="1"/>
  <c r="D72" i="1" a="1"/>
  <c r="D73" i="1" a="1"/>
  <c r="D74" i="1" a="1"/>
  <c r="D75" i="1" a="1"/>
  <c r="B17" i="3" s="1"/>
  <c r="D17" i="3" s="1"/>
  <c r="D76" i="1" a="1"/>
  <c r="B16" i="3" l="1"/>
  <c r="D16" i="3" s="1"/>
  <c r="B15" i="3"/>
  <c r="D15" i="3" s="1"/>
  <c r="B12" i="3"/>
  <c r="D12" i="3" s="1"/>
  <c r="B11" i="3"/>
  <c r="D11" i="3" s="1"/>
  <c r="B10" i="3"/>
  <c r="D10" i="3" s="1"/>
  <c r="B9" i="3"/>
  <c r="D9" i="3" s="1"/>
  <c r="B8" i="3"/>
  <c r="D8" i="3" s="1"/>
  <c r="B7" i="3"/>
  <c r="D7" i="3" s="1"/>
  <c r="B6" i="3"/>
  <c r="D6" i="3" s="1"/>
  <c r="B3" i="3"/>
  <c r="D3" i="3" s="1"/>
  <c r="B5" i="3"/>
  <c r="D5" i="3" s="1"/>
  <c r="B4" i="3"/>
  <c r="D4" i="3" s="1"/>
  <c r="B2" i="3"/>
  <c r="D2" i="3" s="1"/>
  <c r="C19" i="3" l="1"/>
  <c r="C2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<sst xmlns="http://schemas.openxmlformats.org/spreadsheetml/2006/main" count="289" uniqueCount="124">
  <si>
    <t>Category</t>
  </si>
  <si>
    <t>Client-Specific Question</t>
  </si>
  <si>
    <t>User Priority</t>
  </si>
  <si>
    <t>User Score</t>
  </si>
  <si>
    <t>B</t>
  </si>
  <si>
    <t>Operating System Privileged Account Control</t>
  </si>
  <si>
    <t>C</t>
  </si>
  <si>
    <t>A</t>
  </si>
  <si>
    <t>D</t>
  </si>
  <si>
    <t>Category Score Formula</t>
  </si>
  <si>
    <t>Weight Multipliers</t>
  </si>
  <si>
    <t>Weighted Scores</t>
  </si>
  <si>
    <t>Threat Posture End State</t>
  </si>
  <si>
    <t>IAM &amp; Least Privilege</t>
  </si>
  <si>
    <r>
      <rPr>
        <u/>
        <sz val="12"/>
        <color theme="1"/>
        <rFont val="Calibri"/>
        <family val="2"/>
        <scheme val="minor"/>
      </rPr>
      <t>Human Multi-Factor Authentication (MFA)</t>
    </r>
    <r>
      <rPr>
        <sz val="12"/>
        <color theme="1"/>
        <rFont val="Calibri"/>
        <family val="2"/>
        <scheme val="minor"/>
      </rPr>
      <t xml:space="preserve">
A) Phishing-resistant hardware MFA keys are strictly mandatory for all console users, with no bypass options.
B) MFA via standard mobile authenticator apps is enforced globally, but fallback to SMS OTP is permitted.
C) MFA is enforced only for administrator or root accounts, while standard users rely on static passwords.
D) MFA is optional or unenforced across the tenant, allowing console access via basic usernames and passwords.</t>
    </r>
  </si>
  <si>
    <r>
      <rPr>
        <u/>
        <sz val="12"/>
        <color theme="1"/>
        <rFont val="Calibri"/>
        <family val="2"/>
        <scheme val="minor"/>
      </rPr>
      <t>Root Account Protection</t>
    </r>
    <r>
      <rPr>
        <sz val="12"/>
        <color theme="1"/>
        <rFont val="Calibri"/>
        <family val="2"/>
        <scheme val="minor"/>
      </rPr>
      <t xml:space="preserve">
A) Root/Break-glass accounts are locked in a physical vault, have hardware MFA, and are never used for daily operations
B) Root accounts are rarely used, but access tracking relies on manual review of daily email digests.
C) Root credentials are known to multiple engineers and lack hardware locks or immediate alerting protocols.
D) Daily operational scripts and infrastructure management tasks execute natively using the cloud tenant's root account.</t>
    </r>
  </si>
  <si>
    <r>
      <rPr>
        <u/>
        <sz val="12"/>
        <color theme="1"/>
        <rFont val="Calibri"/>
        <family val="2"/>
        <scheme val="minor"/>
      </rPr>
      <t xml:space="preserve">Non-Human / Service Account Privileges
</t>
    </r>
    <r>
      <rPr>
        <sz val="12"/>
        <color theme="1"/>
        <rFont val="Calibri"/>
        <family val="2"/>
        <scheme val="minor"/>
      </rPr>
      <t xml:space="preserve">
A) Services assume transient IAM roles via short-lived tokens (e.g., AWS STS, Azure Managed Identities) with strict least privilege.
B) Service identities use scoped IAM roles, but permission structures include broad asterisks (e.g., s3:*) within the resource scope.
C) Cloud workloads utilize long-lived, static access keys stored directly inside application code configuration files.
D) Long-lived access keys possess full administrative permissions (*:*) and are shared across multiple unlinked workloads</t>
    </r>
  </si>
  <si>
    <r>
      <rPr>
        <u/>
        <sz val="12"/>
        <color theme="1"/>
        <rFont val="Calibri"/>
        <family val="2"/>
        <scheme val="minor"/>
      </rPr>
      <t>Just-In-Time (JIT) Privilege Escalation</t>
    </r>
    <r>
      <rPr>
        <sz val="12"/>
        <color theme="1"/>
        <rFont val="Calibri"/>
        <family val="2"/>
        <scheme val="minor"/>
      </rPr>
      <t xml:space="preserve">
A) High-privilege access is granted exclusively via automated JIT request pipelines that auto-revoke access within 1 hour.
B) Escalations require peer sign-off, but roles remain active for 24–48 hours before manual clean-up occurs.
C) Administrators retain permanent high-level privileges on daily user profiles, relying on corporate policy to limit misuse.
D) High-privilege profiles remain assigned to inactive, dormant, or former employee accounts indefinitely.</t>
    </r>
  </si>
  <si>
    <r>
      <rPr>
        <u/>
        <sz val="12"/>
        <color theme="1"/>
        <rFont val="Calibri"/>
        <family val="2"/>
        <scheme val="minor"/>
      </rPr>
      <t>Credential Rotation Cadence</t>
    </r>
    <r>
      <rPr>
        <sz val="12"/>
        <color theme="1"/>
        <rFont val="Calibri"/>
        <family val="2"/>
        <scheme val="minor"/>
      </rPr>
      <t xml:space="preserve">
A) Cloud console passwords and programmatic keys are systematically rotated every 30 days via automated scripts.
B) Passwords require rotation every 90 days, but programmatic developer access keys remain active until manual intervention.
C) Key rotation happens reactively following team departures or suspected credential exposure events.
D) Programmatic access keys have never been rotated since the initial creation of the cloud tenant environment.</t>
    </r>
  </si>
  <si>
    <t>Cloud Infrastructure Perimeter Security</t>
  </si>
  <si>
    <r>
      <t xml:space="preserve">Management Ingress Controls (SSH/RDP)
</t>
    </r>
    <r>
      <rPr>
        <sz val="12"/>
        <color theme="1"/>
        <rFont val="Calibri"/>
        <family val="2"/>
        <scheme val="minor"/>
      </rPr>
      <t>A) Administrative ports are completely closed to the internet; access requires a managed session broker (e.g., AWS Systems Manager, Azure Bastion).
B) Management ports require a corporate VPN connection, but target instance security groups lack granular IP whitelists.
C) SSH/RDP inputs filter traffic through a static list of external IP ranges that are rarely audited or updated.
D) Management routes are exposed directly to the public web (0.0.0.0/0), allowing brute-force attempts from any host.</t>
    </r>
  </si>
  <si>
    <r>
      <t xml:space="preserve">Distributed Denial of Service (DDoS) Shielding
</t>
    </r>
    <r>
      <rPr>
        <sz val="12"/>
        <color theme="1"/>
        <rFont val="Calibri"/>
        <family val="2"/>
        <scheme val="minor"/>
      </rPr>
      <t xml:space="preserve">
A) Advanced, native, or third-party edge-protection tools are deployed continuously to scrub and drop layer 7 DDoS floods automatically.
B) Perimeter endpoints use baseline platform protections, which trigger manual notification workflows during volumetric spikes.
C) Mitigation depends on standard load balancer rate limiting without edge caching or packet inspections.
D) High-visibility cloud targets route traffic without edge shielding, exposing the target environment to resource exhaustion.</t>
    </r>
  </si>
  <si>
    <r>
      <t xml:space="preserve">Web Application Firewall (WAF) Implementation
</t>
    </r>
    <r>
      <rPr>
        <sz val="12"/>
        <color theme="1"/>
        <rFont val="Calibri"/>
        <family val="2"/>
        <scheme val="minor"/>
      </rPr>
      <t xml:space="preserve">
A) WAF instances process all public traffic using automated, managed OWASP Top 10 threat prevention rule blocks.
B) WAF tools operate in log-only alert modes, capturing web protocol injection indicators without dropping anomalous packets.
C) Custom firewall filtering occurs at application code tiers rather than modern edge gateway inspection tiers.
D) Web endpoints handle public traffic without intercepting inspection firewalls, exposing internal web backends to direct exploits. </t>
    </r>
  </si>
  <si>
    <r>
      <t xml:space="preserve">External Public IP Allocation Audit
</t>
    </r>
    <r>
      <rPr>
        <sz val="12"/>
        <color theme="1"/>
        <rFont val="Calibri"/>
        <family val="2"/>
        <scheme val="minor"/>
      </rPr>
      <t>A) Real-time asset inventory engines identify newly provisioned public endpoints and close unapproved entry paths automatically.
B) Network engineering groups complete manual validation checks of internet-facing public routing configurations every month. 
C) Visual mapping of public IP assignments occurs only during large infrastructure architecture reviews.
D) Production instances assign public IP routes dynamically without baseline authorization workflows or discovery tracking.</t>
    </r>
  </si>
  <si>
    <r>
      <t xml:space="preserve">DNS Domain Routing Protections
</t>
    </r>
    <r>
      <rPr>
        <sz val="12"/>
        <color theme="1"/>
        <rFont val="Calibri"/>
        <family val="2"/>
        <scheme val="minor"/>
      </rPr>
      <t xml:space="preserve">
A) Cloud DNS zones mandate strict DNSSEC validation alongside real-time anomaly alerts for configuration updates.
B) Zone registries use infrastructure management platforms, but validation checks do not analyze dangling subdomain risks.
C) Modifications to zone allocations occur via standard helpdesk requests without automated multi-signature verification steps.
D) DNS resolution properties allow unmonitored updates, exposing cloud operations to sub-domain hijacking.</t>
    </r>
  </si>
  <si>
    <t>Compute Hardening &amp; Vulnerability Management</t>
  </si>
  <si>
    <r>
      <t xml:space="preserve">OS Images and Base Hardening
</t>
    </r>
    <r>
      <rPr>
        <b/>
        <u/>
        <sz val="12"/>
        <color theme="1"/>
        <rFont val="Calibri"/>
        <family val="2"/>
        <scheme val="minor"/>
      </rPr>
      <t xml:space="preserve">
</t>
    </r>
    <r>
      <rPr>
        <sz val="12"/>
        <color theme="1"/>
        <rFont val="Calibri"/>
        <family val="2"/>
        <scheme val="minor"/>
      </rPr>
      <t>A)</t>
    </r>
    <r>
      <rPr>
        <b/>
        <sz val="12"/>
        <color theme="1"/>
        <rFont val="Calibri"/>
        <family val="2"/>
        <scheme val="minor"/>
      </rPr>
      <t xml:space="preserve"> </t>
    </r>
    <r>
      <rPr>
        <sz val="12"/>
        <color theme="1"/>
        <rFont val="Calibri"/>
        <family val="2"/>
        <scheme val="minor"/>
      </rPr>
      <t>Golden images (AMIs/VHDs) are automatically hardened to CIS Benchmarks and re-built weekly via automated pipelines.
B) Images follow documented internal templates, but baseline configuration auditing happens manually on a monthly cycle.
C) Servers pull stock vendor images directly from open marketplace mirrors without custom configuration adjustments.
D) Computing nodes deploy outdated, unhardened operating system builds containing obsolete system tools.</t>
    </r>
  </si>
  <si>
    <r>
      <t xml:space="preserve">Automated Vulnerability Scanning
</t>
    </r>
    <r>
      <rPr>
        <b/>
        <u/>
        <sz val="12"/>
        <color theme="1"/>
        <rFont val="Calibri"/>
        <family val="2"/>
        <scheme val="minor"/>
      </rPr>
      <t xml:space="preserve">
</t>
    </r>
    <r>
      <rPr>
        <sz val="12"/>
        <color theme="1"/>
        <rFont val="Calibri"/>
        <family val="2"/>
        <scheme val="minor"/>
      </rPr>
      <t>A) Native cloud scanners (e.g., AWS Inspector, Microsoft Defender for Cloud) continuously check all instances for active CVE vulnerabilities.
B) Scanning engines execute scheduled sweeps every 14 days, generating static report sheets for review.
C) External networks run periodic vulnerability scans only when needed to meet annual check-box compliance audits.
D) Compute nodes operate without active scanning tools, missing zero-day runtime threats.</t>
    </r>
  </si>
  <si>
    <r>
      <t xml:space="preserve">Dynamic Runtime Patch Deployment
</t>
    </r>
    <r>
      <rPr>
        <b/>
        <u/>
        <sz val="12"/>
        <color theme="1"/>
        <rFont val="Calibri"/>
        <family val="2"/>
        <scheme val="minor"/>
      </rPr>
      <t xml:space="preserve">
</t>
    </r>
    <r>
      <rPr>
        <sz val="12"/>
        <color theme="1"/>
        <rFont val="Calibri"/>
        <family val="2"/>
        <scheme val="minor"/>
      </rPr>
      <t>A)</t>
    </r>
    <r>
      <rPr>
        <b/>
        <sz val="12"/>
        <color theme="1"/>
        <rFont val="Calibri"/>
        <family val="2"/>
        <scheme val="minor"/>
      </rPr>
      <t xml:space="preserve"> </t>
    </r>
    <r>
      <rPr>
        <sz val="12"/>
        <color theme="1"/>
        <rFont val="Calibri"/>
        <family val="2"/>
        <scheme val="minor"/>
      </rPr>
      <t>Critical operating system updates apply automatically within 24 hours of release via managed patch managers.
B) Server components receive rolling hotfix patch updates monthly during scheduled infrastructure downtime windows.
C) Maintenance patch execution requires manual engineer deployment, resulting in multi-month remediation backlogs.
D) Virtual machines are running legacy kernel packages with publicly documented, active exploit paths.</t>
    </r>
  </si>
  <si>
    <r>
      <t xml:space="preserve">Metadata Service (IMDS) Hardening
</t>
    </r>
    <r>
      <rPr>
        <sz val="12"/>
        <color theme="1"/>
        <rFont val="Calibri"/>
        <family val="2"/>
        <scheme val="minor"/>
      </rPr>
      <t xml:space="preserve">
A) All compute targets enforce modern IMDSv2 exclusively, blocking token harvesting via Server-Side Request Forgery (SSRF).
B) IMDSv2 is preferred, but compatibility switches allow instances to fall back to insecure IMDSv1 structures if requested.
C) Workloads process traffic using legacy IMDSv1 defaults, relying entirely on network boundaries to secure credentials.
D) Metadata endpoint paths are completely unmonitored, permitting unauthenticated root role extraction via SSRF.</t>
    </r>
  </si>
  <si>
    <r>
      <t xml:space="preserve">Endpoint Detection &amp; Response (EDR)
</t>
    </r>
    <r>
      <rPr>
        <sz val="12"/>
        <color theme="1"/>
        <rFont val="Calibri"/>
        <family val="2"/>
        <scheme val="minor"/>
      </rPr>
      <t xml:space="preserve">
A) Cloud-optimized EDR agents are baked into every image to block execution memory manipulation and file integrity shifts.
B) Antivirus engines track known malware file hashes, but lack behavioral analytics to identify living-off-the-land techniques.
C) Endpoint logging monitors core performance markers rather than actively checking for malicious process anomalies.
D) Compute nodes run with zero host-level endpoint tools, leaving execution layers unmonitored.</t>
    </r>
  </si>
  <si>
    <r>
      <t xml:space="preserve">Data-at-Rest Master Key Management
</t>
    </r>
    <r>
      <rPr>
        <b/>
        <u/>
        <sz val="12"/>
        <color theme="1"/>
        <rFont val="Calibri"/>
        <family val="2"/>
        <scheme val="minor"/>
      </rPr>
      <t xml:space="preserve">
</t>
    </r>
    <r>
      <rPr>
        <sz val="12"/>
        <color theme="1"/>
        <rFont val="Calibri"/>
        <family val="2"/>
        <scheme val="minor"/>
      </rPr>
      <t>A) Storage uses Customer-Managed Keys (CMK) via cloud KMS with strict envelope encryption and automated annual key rotation
B) Data is encrypted using cloud provider-managed default platform keys, but rotation cannot be customized or verified.
C) Cloud storage objects rely on optional, software-level application encryption without centralized key tracking.
D) Storage volumes, buckets, and disks are left unencrypted in cleartext at the infrastructure level.</t>
    </r>
  </si>
  <si>
    <t>Data Protection &amp; Encryption at Rest/In-Transit</t>
  </si>
  <si>
    <r>
      <t xml:space="preserve">Transport Layer Security (TLS) Cipher Enforcement
</t>
    </r>
    <r>
      <rPr>
        <sz val="12"/>
        <color theme="1"/>
        <rFont val="Calibri"/>
        <family val="2"/>
        <scheme val="minor"/>
      </rPr>
      <t>A) Network gateways actively block weak ciphers and require forward secrecy configurations exclusively.
B) Modern ciphers are preferred, but security profiles permit legacy CBC or RC4 structures to avoid service drops.
C) Cipher parameters use out-of-the-box load balancer defaults with no manual hardening or alignment reviews.
D)Gateway parameters allow obsolete, vulnerable ciphers, exposing communication channels to decryption.</t>
    </r>
  </si>
  <si>
    <r>
      <t xml:space="preserve">Data-in-Transit Protocol Enforcement
</t>
    </r>
    <r>
      <rPr>
        <sz val="12"/>
        <color theme="1"/>
        <rFont val="Calibri"/>
        <family val="2"/>
        <scheme val="minor"/>
      </rPr>
      <t xml:space="preserve">
A) Enforced globally via automated boundary policies dropping all connections failing to use HTTPS/TLS 1.3.
B) Encrypted via TLS 1.2, but perimeter gateways tolerate older legacy protocols for backwards compatibility.
C) Encryption in-transit relies entirely on manual application settings without centralized network enforcement.
D) Internal data flows and public web services transmit unencrypted over plaintext HTTP channels.</t>
    </r>
  </si>
  <si>
    <r>
      <t xml:space="preserve">Transport Layer Security (TLS) Cipher Enforcement
</t>
    </r>
    <r>
      <rPr>
        <sz val="12"/>
        <color theme="1"/>
        <rFont val="Calibri"/>
        <family val="2"/>
        <scheme val="minor"/>
      </rPr>
      <t>A) Network gateways actively block weak ciphers and require forward secrecy configurations exclusively.
B) Modern ciphers are preferred, but security profiles permit legacy CBC or RC4 structures to avoid service drops.
C) Cipher parameters use out-of-the-box load balancer defaults with no manual hardening or alignment reviews.
D) Gateway parameters allow obsolete, vulnerable ciphers, exposing communication channels to decryption.</t>
    </r>
  </si>
  <si>
    <r>
      <t xml:space="preserve">Public/Private Boundary Isolation
</t>
    </r>
    <r>
      <rPr>
        <sz val="12"/>
        <color theme="1"/>
        <rFont val="Calibri"/>
        <family val="2"/>
        <scheme val="minor"/>
      </rPr>
      <t>A) Strict network boundaries isolate datastores into non-routable subnets with zero public gateway paths.
B) Databases sit in isolated subnets, but rely on security group rules rather than structural network separation.
C) Private assets share subnet space with public web servers, relying purely on host firewalls for isolation.
D) Datastores route traffic directly to the public web with active public IP allocations assigned to nodes.</t>
    </r>
  </si>
  <si>
    <r>
      <t xml:space="preserve">Cryptographic Key Separation Matrix
</t>
    </r>
    <r>
      <rPr>
        <sz val="12"/>
        <color theme="1"/>
        <rFont val="Calibri"/>
        <family val="2"/>
        <scheme val="minor"/>
      </rPr>
      <t>A) Key access parameters enforce a strict separation of duties; key administrators cannot decrypt target data.
B) Access is restricted to specific engineering groups, but keys lack granular, contextual resource-use constraints.
C) Generic developer roles possess full administrative and cryptographic use rights over master key rings.
D) Decryption keys use wide-open access policies, allowing any tenant user profile to view sensitive data.</t>
    </r>
  </si>
  <si>
    <r>
      <t xml:space="preserve">Secrets Centralization Architecture
</t>
    </r>
    <r>
      <rPr>
        <sz val="12"/>
        <color theme="1"/>
        <rFont val="Calibri"/>
        <family val="2"/>
        <scheme val="minor"/>
      </rPr>
      <t xml:space="preserve">
A) All environment configurations draw credentials dynamically at runtime from a dedicated, hardware-backed vault.
B) Secrets sit inside managed cloud helper systems, but access controls allow broad developer-level reading.
C) Credentials reside inside static system text configuration properties files located on local container storage disks.
D) Database strings, API access codes, and service passwords sit hardcoded in plaintext inside application code files.</t>
    </r>
  </si>
  <si>
    <r>
      <t xml:space="preserve">Secret Dynamic Auto-Rotation Frequency
</t>
    </r>
    <r>
      <rPr>
        <sz val="12"/>
        <color theme="1"/>
        <rFont val="Calibri"/>
        <family val="2"/>
        <scheme val="minor"/>
      </rPr>
      <t xml:space="preserve">
A) Managed vaults rotate operational secrets dynamically every 30 days via automated application callback tasks..
B) Passwords update manually on a quarterly calendar schedule, requiring system reboots to apply values.
C) Secret replacement happens reactively following infrastructure security events or team departures.
D) Environment credentials have never undergone rotation adjustments since the initial account configuration.</t>
    </r>
  </si>
  <si>
    <r>
      <t xml:space="preserve">Application Secret Injection Methods
</t>
    </r>
    <r>
      <rPr>
        <sz val="12"/>
        <color theme="1"/>
        <rFont val="Calibri"/>
        <family val="2"/>
        <scheme val="minor"/>
      </rPr>
      <t xml:space="preserve">
A) Workloads inherit secrets in-memory via secure native role metadata queries without leaving local system footprints.
B) Values inject into container system properties during initialization phases, leaving them visible in configuration interfaces.
C) Build engines paste plaintext secret strings into deployment packages during compilation procedures.
D) Configuration files containing raw production credentials are saved inside open code repository branches.</t>
    </r>
  </si>
  <si>
    <t>Secrets &amp; Key Management</t>
  </si>
  <si>
    <r>
      <t xml:space="preserve">Secret Decryption Logging Transparency
</t>
    </r>
    <r>
      <rPr>
        <sz val="12"/>
        <color theme="1"/>
        <rFont val="Calibri"/>
        <family val="2"/>
        <scheme val="minor"/>
      </rPr>
      <t xml:space="preserve">
A) Every single secret read request generates an immediate, immutable, non-repudiable alert to security monitoring.
B) API logging tracks configuration changes to the vault, but misses individual secret retrieval occurrences.
C) Event logs collect metadata locally inside the vault storage space, but skip integration with centralized monitoring.
D) Secret retrieval processes generate zero access log traces, rendering compromise identification impossible.</t>
    </r>
  </si>
  <si>
    <t>Storage &amp; Database Security Configuration</t>
  </si>
  <si>
    <r>
      <t xml:space="preserve">Object Storage Access Controls
</t>
    </r>
    <r>
      <rPr>
        <sz val="12"/>
        <color theme="1"/>
        <rFont val="Calibri"/>
        <family val="2"/>
        <scheme val="minor"/>
      </rPr>
      <t>A) Enforced via explicit zero-trust IAM block definitions combined with signed-URL authorization for external users.
B) Storage permissions use standard bucket configurations, which requires continuous manual checking to avoid errors.
C) Access relies on basic access control lists (ACLs) that run high risks of accidental exposure during updates.
D) Storage bucket access definitions are configured to allow public unauthenticated reading and writing over the web.</t>
    </r>
  </si>
  <si>
    <r>
      <t xml:space="preserve">Public Storage Block Overrides
</t>
    </r>
    <r>
      <rPr>
        <sz val="12"/>
        <color theme="1"/>
        <rFont val="Calibri"/>
        <family val="2"/>
        <scheme val="minor"/>
      </rPr>
      <t>A) Global tenant-level controls are locked to block public storage exposure completely, overriding local bucket changes.
B) Public settings are blocked by default, but local storage administrators can deactivate restrictions without approval.
C) Blocking public storage access depends on manual checklist compliance steps during infrastructure construction.
D) Tenant spaces lack global public restrictions, allowing any bucket to be opened to the web without alerts.</t>
    </r>
  </si>
  <si>
    <r>
      <t xml:space="preserve">Relational Database Network Isolation
</t>
    </r>
    <r>
      <rPr>
        <sz val="12"/>
        <color theme="1"/>
        <rFont val="Calibri"/>
        <family val="2"/>
        <scheme val="minor"/>
      </rPr>
      <t xml:space="preserve">A) DB systems have zero internet paths and process queries exclusively via explicit private private-link proxy configurations.
B) Databases route traffic internally, but their endpoints remain visible inside general public cloud network maps.
C) Databases share perimeter zones with web instances, relying entirely on network routing filters for safety.
D) Database endpoints possess direct public IP links, allowing login attempts from the open web. </t>
    </r>
  </si>
  <si>
    <r>
      <t xml:space="preserve">Storage Object Versioning &amp; Locking
</t>
    </r>
    <r>
      <rPr>
        <sz val="12"/>
        <color theme="1"/>
        <rFont val="Calibri"/>
        <family val="2"/>
        <scheme val="minor"/>
      </rPr>
      <t>A) Object instances use write-once-read-many (WORM) immutability modes that block deletion even by administrators.
B) Versioning structures track file changes, but administrators can delete history streams without multi-signature keys.
C) Simple version tracking is active, but files lack object-locking guardrails against ransomware modification.
D) Storage objects overwrite directly without backup tracking or history preservation parameters.</t>
    </r>
  </si>
  <si>
    <r>
      <t xml:space="preserve">Database Snapshot Access Validation
</t>
    </r>
    <r>
      <rPr>
        <sz val="12"/>
        <color theme="1"/>
        <rFont val="Calibri"/>
        <family val="2"/>
        <scheme val="minor"/>
      </rPr>
      <t>A) Image snapshots use local hardware keys and cannot be copied across separate cloud account domains.
B) Backups follow standard account boundaries, but permissions allow image exports to unverified external profiles.
C) Backup snapshots sit in public storage buckets, relying on long, unhashed filenames for security.
D) DB image history files are open to unauthenticated downloads across the open web.</t>
    </r>
  </si>
  <si>
    <t>Backup, Disaster Recovery &amp; Ransomware Resilience</t>
  </si>
  <si>
    <r>
      <t xml:space="preserve">Immutable Backup Deployment
</t>
    </r>
    <r>
      <rPr>
        <sz val="12"/>
        <color theme="1"/>
        <rFont val="Calibri"/>
        <family val="2"/>
        <scheme val="minor"/>
      </rPr>
      <t xml:space="preserve">A) Systems mandate cryptographic signature verification against verified vendor public keys before execution.
B) Download portals evaluate SHA-256 hash metrics but skip code-signing certificate verification checks.
C) System platforms verify the source domain name but execute the installer package without analyzing binary signatures.
D) Deployment hubs run files without checking integrity, allowing rogue firmware to propagate </t>
    </r>
  </si>
  <si>
    <r>
      <t xml:space="preserve">Cross-Region/Cross-Account Backups
</t>
    </r>
    <r>
      <rPr>
        <sz val="12"/>
        <color theme="1"/>
        <rFont val="Calibri"/>
        <family val="2"/>
        <scheme val="minor"/>
      </rPr>
      <t xml:space="preserve">A) Systems mandate cryptographic signature verification against verified vendor public keys before execution.
B) Download portals evaluate SHA-256 hash metrics but skip code-signing certificate verification checks.
C) System platforms verify the source domain name but execute the installer package without analyzing binary signatures.
D) Deployment hubs run files without checking integrity, allowing rogue firmware to propagate </t>
    </r>
  </si>
  <si>
    <r>
      <t xml:space="preserve">Disaster Recovery Testing Automation
</t>
    </r>
    <r>
      <rPr>
        <sz val="12"/>
        <color theme="1"/>
        <rFont val="Calibri"/>
        <family val="2"/>
        <scheme val="minor"/>
      </rPr>
      <t xml:space="preserve">A) Systems mandate cryptographic signature verification against verified vendor public keys before execution.
B) Download portals evaluate SHA-256 hash metrics but skip code-signing certificate verification checks.
C) System platforms verify the source domain name but execute the installer package without analyzing binary signatures.
D) Deployment hubs run files without checking integrity, allowing rogue firmware to propagate </t>
    </r>
  </si>
  <si>
    <r>
      <t xml:space="preserve">Recovery Point Objective (RPO) Constraints
</t>
    </r>
    <r>
      <rPr>
        <sz val="12"/>
        <color theme="1"/>
        <rFont val="Calibri"/>
        <family val="2"/>
        <scheme val="minor"/>
      </rPr>
      <t xml:space="preserve">A) Systems mandate cryptographic signature verification against verified vendor public keys before execution.
B) Download portals evaluate SHA-256 hash metrics but skip code-signing certificate verification checks.
C) System platforms verify the source domain name but execute the installer package without analyzing binary signatures.
D) Deployment hubs run files without checking integrity, allowing rogue firmware to propagate </t>
    </r>
  </si>
  <si>
    <r>
      <t xml:space="preserve">Vault Key Destruction Separation
</t>
    </r>
    <r>
      <rPr>
        <sz val="12"/>
        <color theme="1"/>
        <rFont val="Calibri"/>
        <family val="2"/>
        <scheme val="minor"/>
      </rPr>
      <t xml:space="preserve">A) Systems mandate cryptographic signature verification against verified vendor public keys before execution.
B) Download portals evaluate SHA-256 hash metrics but skip code-signing certificate verification checks.
C) System platforms verify the source domain name but execute the installer package without analyzing binary signatures.
D) Deployment hubs run files without checking integrity, allowing rogue firmware to propagate </t>
    </r>
  </si>
  <si>
    <t>Control Plane &amp; API Integrity</t>
  </si>
  <si>
    <r>
      <t xml:space="preserve">Cloud Provider Management Log Auditing
</t>
    </r>
    <r>
      <rPr>
        <sz val="12"/>
        <color theme="1"/>
        <rFont val="Calibri"/>
        <family val="2"/>
        <scheme val="minor"/>
      </rPr>
      <t xml:space="preserve">
A) Global API configuration tracking tools (e.g., AWS CloudTrail) stream real-time logs to a separate, read-only security tenant.
B) Management tracking logs collect active records, but files remain local to the main account and are vulnerable to admin deletion.
C) Platform logging functions run on ad-hoc timelines and are checked only during post-incident reviews.
D) Account management logging is deactivated across the cloud environment, leaving API modifications untraceable.</t>
    </r>
  </si>
  <si>
    <r>
      <t xml:space="preserve">Administrator Console Entry Gateways
</t>
    </r>
    <r>
      <rPr>
        <sz val="12"/>
        <color theme="1"/>
        <rFont val="Calibri"/>
        <family val="2"/>
        <scheme val="minor"/>
      </rPr>
      <t xml:space="preserve">
A) High-level console entry requires dedicated hardware tokens and checks the device's location and security posture before entry.
B) Administrative dashboards require basic software multi-factor codes, but ignore source device or location risks.
C) Admin access operates via open internet links, relying on standard static passwords with no conditional filters.
D) Global administration roots run without secondary authentication factors, exposing environments to brute-force attacks.</t>
    </r>
  </si>
  <si>
    <r>
      <t xml:space="preserve">Infrastructure Modification API Thresholds
</t>
    </r>
    <r>
      <rPr>
        <sz val="12"/>
        <color theme="1"/>
        <rFont val="Calibri"/>
        <family val="2"/>
        <scheme val="minor"/>
      </rPr>
      <t xml:space="preserve">
A) High-impact environment changes (e.g., deleting networks) trigger automated, multi-signature approval blocks.
B) Infrastructure modifications generate real-time slack notifications, but do not block the actions before review.
C) API connections execute changes instantly, relying on standard code review processes to catch errors.
D) Any individual engineer profile can modify production routing or networks without confirmation gates.</t>
    </r>
  </si>
  <si>
    <r>
      <t xml:space="preserve">Resource Tagging Control Enforcement
</t>
    </r>
    <r>
      <rPr>
        <sz val="12"/>
        <color theme="1"/>
        <rFont val="Calibri"/>
        <family val="2"/>
        <scheme val="minor"/>
      </rPr>
      <t xml:space="preserve">
A) Automated system rules drop any newly created resource instantly if it lacks required ownership and security tags.
B) Asset validation rules scan setups monthly to catch unmapped cloud objects, which are then cleaned up manually.
C) Resource categorization relies entirely on engineers following naming documentation during setup phases.
D) Resource tagging is completely missing, creating extensive visibility blind spots across tenant systems.</t>
    </r>
  </si>
  <si>
    <r>
      <t xml:space="preserve">Tenant Isolation Boundaries
</t>
    </r>
    <r>
      <rPr>
        <sz val="12"/>
        <color theme="1"/>
        <rFont val="Calibri"/>
        <family val="2"/>
        <scheme val="minor"/>
      </rPr>
      <t xml:space="preserve">
A) Development, testing, and production systems run in completely separate cloud accounts with zero cross-tenant links.
B) Environments split logic using unique resource groups, but share the same core network routing structures.
C) Testing and production assets run on shared hardware nodes, relying on local tags for identification.
D) Development, testing, and production workloads run completely unsegregated within a single cloud account.</t>
    </r>
  </si>
  <si>
    <t>Serverless &amp; Container Runtime Protection</t>
  </si>
  <si>
    <r>
      <rPr>
        <u/>
        <sz val="12"/>
        <color theme="1"/>
        <rFont val="Calibri"/>
        <family val="2"/>
        <scheme val="minor"/>
      </rPr>
      <t xml:space="preserve">Container Image Registry Security Scanning
</t>
    </r>
    <r>
      <rPr>
        <sz val="12"/>
        <color theme="1"/>
        <rFont val="Calibri"/>
        <family val="2"/>
        <scheme val="minor"/>
      </rPr>
      <t xml:space="preserve">
A) Message payloads contain digital signatures validated by an asymmetric public key infrastructure. 
B) Interfaces check simple checksum hashes (e.g., MD5), but lack cryptographic authenticity verification.
C) Verification checks occur only at final processing endpoints, leaving intermediary hubs unverified.
D) Data flows lack integrity checks, enabling undetected manipulation of financial message values</t>
    </r>
  </si>
  <si>
    <r>
      <rPr>
        <u/>
        <sz val="12"/>
        <color theme="1"/>
        <rFont val="Calibri"/>
        <family val="2"/>
        <scheme val="minor"/>
      </rPr>
      <t xml:space="preserve">Kubernetes Cluster Control Plane Access
</t>
    </r>
    <r>
      <rPr>
        <sz val="12"/>
        <color theme="1"/>
        <rFont val="Calibri"/>
        <family val="2"/>
        <scheme val="minor"/>
      </rPr>
      <t xml:space="preserve">
A) Message payloads contain digital signatures validated by an asymmetric public key infrastructure. 
B) Interfaces check simple checksum hashes (e.g., MD5), but lack cryptographic authenticity verification.
C) Verification checks occur only at final processing endpoints, leaving intermediary hubs unverified.
D) Data flows lack integrity checks, enabling undetected manipulation of financial message values</t>
    </r>
  </si>
  <si>
    <r>
      <rPr>
        <u/>
        <sz val="12"/>
        <color theme="1"/>
        <rFont val="Calibri"/>
        <family val="2"/>
        <scheme val="minor"/>
      </rPr>
      <t>Serverless Function Scoped Privileges</t>
    </r>
    <r>
      <rPr>
        <sz val="12"/>
        <color theme="1"/>
        <rFont val="Calibri"/>
        <family val="2"/>
        <scheme val="minor"/>
      </rPr>
      <t xml:space="preserve">
A) Message payloads contain digital signatures validated by an asymmetric public key infrastructure. 
B) Interfaces check simple checksum hashes (e.g., MD5), but lack cryptographic authenticity verification.
C) Verification checks occur only at final processing endpoints, leaving intermediary hubs unverified.
D) Data flows lack integrity checks, enabling undetected manipulation of financial message values</t>
    </r>
  </si>
  <si>
    <r>
      <rPr>
        <u/>
        <sz val="12"/>
        <color theme="1"/>
        <rFont val="Calibri"/>
        <family val="2"/>
        <scheme val="minor"/>
      </rPr>
      <t xml:space="preserve">Microservice Mesh Mutual TLS (mTLS)
</t>
    </r>
    <r>
      <rPr>
        <sz val="12"/>
        <color theme="1"/>
        <rFont val="Calibri"/>
        <family val="2"/>
        <scheme val="minor"/>
      </rPr>
      <t xml:space="preserve">
A) Service meshes enforce strict mutual TLS encryption along with cryptographic validation for all inter-pod traffic.
B) Traffic within clusters uses standard network policies, but communication drops to plaintext inside container boundaries.
C) Pod communication relies on network isolation layers without encrypting payloads during transmission.
D) Microservices process data using cleartext protocols with zero authentication between internal pods.</t>
    </r>
  </si>
  <si>
    <r>
      <rPr>
        <u/>
        <sz val="12"/>
        <color theme="1"/>
        <rFont val="Calibri"/>
        <family val="2"/>
        <scheme val="minor"/>
      </rPr>
      <t xml:space="preserve">Privileged Container Execution Limits
</t>
    </r>
    <r>
      <rPr>
        <sz val="12"/>
        <color theme="1"/>
        <rFont val="Calibri"/>
        <family val="2"/>
        <scheme val="minor"/>
      </rPr>
      <t xml:space="preserve">
A) Automated system controls drop any container that requests root privileges or access to the host kernel. 
B) Privileged containers require manual exception flags, but lack continuous runtime behavior scanning.
C) Pod permissions depend on developer setup flags, which are rarely reviewed by security infrastructure teams.
D) Containers run with full host-root permissions by default, exposing the host system to container breakout attacks.</t>
    </r>
  </si>
  <si>
    <t>Audit Logging, SIEM, &amp; Cloud Observability</t>
  </si>
  <si>
    <r>
      <t xml:space="preserve">Native Control Plane Log Retention
</t>
    </r>
    <r>
      <rPr>
        <sz val="12"/>
        <color theme="1"/>
        <rFont val="Calibri"/>
        <family val="2"/>
        <scheme val="minor"/>
      </rPr>
      <t xml:space="preserve">A) In-line monitoring tools use data loss prevention filters to strip sensitive fields from logs automatically.
B) Log engines use rule-based token replacements, which sometimes miss non-standard payload formats.
C) Diagnostic systems record full transaction strings, but restrict log viewing access to specific admin teams.
D) Network monitoring platforms store full transaction payloads in unprotected cleartext logs </t>
    </r>
  </si>
  <si>
    <r>
      <t xml:space="preserve">SIEM Event Ingestion Framework
</t>
    </r>
    <r>
      <rPr>
        <sz val="12"/>
        <color theme="1"/>
        <rFont val="Calibri"/>
        <family val="2"/>
        <scheme val="minor"/>
      </rPr>
      <t xml:space="preserve">A) In-line monitoring tools use data loss prevention filters to strip sensitive fields from logs automatically.
B) Log engines use rule-based token replacements, which sometimes miss non-standard payload formats.
C) Diagnostic systems record full transaction strings, but restrict log viewing access to specific admin teams.
D) Network monitoring platforms store full transaction payloads in unprotected cleartext logs </t>
    </r>
  </si>
  <si>
    <r>
      <t xml:space="preserve">Log Tamper-Proof Storage
</t>
    </r>
    <r>
      <rPr>
        <sz val="12"/>
        <color theme="1"/>
        <rFont val="Calibri"/>
        <family val="2"/>
        <scheme val="minor"/>
      </rPr>
      <t xml:space="preserve">A) In-line monitoring tools use data loss prevention filters to strip sensitive fields from logs automatically.
B) Log engines use rule-based token replacements, which sometimes miss non-standard payload formats.
C) Diagnostic systems record full transaction strings, but restrict log viewing access to specific admin teams.
D) Network monitoring platforms store full transaction payloads in unprotected cleartext logs </t>
    </r>
  </si>
  <si>
    <r>
      <t xml:space="preserve">Threat Detection Pattern Analytics
</t>
    </r>
    <r>
      <rPr>
        <sz val="12"/>
        <color theme="1"/>
        <rFont val="Calibri"/>
        <family val="2"/>
        <scheme val="minor"/>
      </rPr>
      <t xml:space="preserve">A) In-line monitoring tools use data loss prevention filters to strip sensitive fields from logs automatically.
B) Log engines use rule-based token replacements, which sometimes miss non-standard payload formats.
C) Diagnostic systems record full transaction strings, but restrict log viewing access to specific admin teams.
D) Network monitoring platforms store full transaction payloads in unprotected cleartext logs </t>
    </r>
  </si>
  <si>
    <r>
      <t xml:space="preserve">Alerting Latency Optimization
</t>
    </r>
    <r>
      <rPr>
        <sz val="12"/>
        <color theme="1"/>
        <rFont val="Calibri"/>
        <family val="2"/>
        <scheme val="minor"/>
      </rPr>
      <t>A) Security incident alerts route to operational groups within 60 seconds of event execution.
B) Detection alerts use scheduled batch processing cycles, creating 30-to-60-minute delays before notification.
C) Alert reviews occur during manual daily check sweeps, causing significant remediation backlogs.
D) Alert notifications are disabled, leaving administrators unaware of critical infrastructure failures.</t>
    </r>
  </si>
  <si>
    <t>Infrastructure as Code (IaC) &amp; Configuration Drift</t>
  </si>
  <si>
    <r>
      <t xml:space="preserve">IaC Policy Enforcement Pre-Deployment
</t>
    </r>
    <r>
      <rPr>
        <sz val="12"/>
        <color theme="1"/>
        <rFont val="Calibri"/>
        <family val="2"/>
        <scheme val="minor"/>
      </rPr>
      <t xml:space="preserve">A) Automated testing tools evaluate code files during code submission steps, blocking any unhardened changes.
B) Security teams complete peer reviews of system definitions before deployment, but skip using automated testing tools.
C) Static code evaluation occurs only before major infrastructure overhauls or architecture changes.
D) Infrastructure configurations skip code-tier validations, leaving setups completely unhardened. </t>
    </r>
    <r>
      <rPr>
        <u/>
        <sz val="12"/>
        <color theme="1"/>
        <rFont val="Calibri"/>
        <family val="2"/>
        <scheme val="minor"/>
      </rPr>
      <t xml:space="preserve">
</t>
    </r>
  </si>
  <si>
    <r>
      <t xml:space="preserve">Cloud Environment Configuration Drift Visibility
</t>
    </r>
    <r>
      <rPr>
        <sz val="12"/>
        <color theme="1"/>
        <rFont val="Calibri"/>
        <family val="2"/>
        <scheme val="minor"/>
      </rPr>
      <t>A) Drift scanners check production settings every hour and automatically roll back any unauthorized manual updates.
B) Scan sweeps identify manual configuration updates every week, generating drift notification alerts.
C) Discrepancies are identified during manual infrastructure tracking reviews every quarter.
D) System settings drift unchecked due to the lack of automated tracking tools or baselines.</t>
    </r>
    <r>
      <rPr>
        <u/>
        <sz val="12"/>
        <color theme="1"/>
        <rFont val="Calibri"/>
        <family val="2"/>
        <scheme val="minor"/>
      </rPr>
      <t xml:space="preserve">
</t>
    </r>
  </si>
  <si>
    <r>
      <t xml:space="preserve">Manual Console Change Restrictions
</t>
    </r>
    <r>
      <rPr>
        <sz val="12"/>
        <color theme="1"/>
        <rFont val="Calibri"/>
        <family val="2"/>
        <scheme val="minor"/>
      </rPr>
      <t xml:space="preserve">A) Production adjustments via the web console are blocked; all modifications must pass through CI/CD pipelines.
B) Console access is open for emergencies, but any manual update triggers an immediate alert to the operations team.
C) Manual adjustments require approval tickets, but lack automated systems to track configuration changes.
D) Engineers can make direct modifications to production systems via the web console without tracking or reviews. </t>
    </r>
    <r>
      <rPr>
        <u/>
        <sz val="12"/>
        <color theme="1"/>
        <rFont val="Calibri"/>
        <family val="2"/>
        <scheme val="minor"/>
      </rPr>
      <t xml:space="preserve">
</t>
    </r>
  </si>
  <si>
    <r>
      <t xml:space="preserve">Deployment Pipeline Sign-Off Matrix
</t>
    </r>
    <r>
      <rPr>
        <sz val="12"/>
        <color theme="1"/>
        <rFont val="Calibri"/>
        <family val="2"/>
        <scheme val="minor"/>
      </rPr>
      <t>A) Applying modifications requires multi-signature cryptographic tokens from distinct operations and security teams.
B) System additions require approval from a senior manager within the development team's workspace interface.
C) Deployments require approval from a single engineer, who can sign off on their own code changes.
D) Code delivery pipelines execute changes automatically without verification gates or review steps.</t>
    </r>
    <r>
      <rPr>
        <u/>
        <sz val="12"/>
        <color theme="1"/>
        <rFont val="Calibri"/>
        <family val="2"/>
        <scheme val="minor"/>
      </rPr>
      <t xml:space="preserve">
</t>
    </r>
  </si>
  <si>
    <r>
      <t xml:space="preserve">Modular IaC Blueprint Security Baseline
</t>
    </r>
    <r>
      <rPr>
        <sz val="12"/>
        <color theme="1"/>
        <rFont val="Calibri"/>
        <family val="2"/>
        <scheme val="minor"/>
      </rPr>
      <t>A) All infrastructure must use centralized, pre-hardened code templates managed by security teams.
B) Hardened code examples are available, but developers can write custom configurations from scratch without verification.
C) Architecture code utilizes stock documentation examples from the web without custom hardening adjustments.
D) Templates lack standard security parameters, allowing the deployment of misconfigured infrastructure.</t>
    </r>
    <r>
      <rPr>
        <u/>
        <sz val="12"/>
        <color theme="1"/>
        <rFont val="Calibri"/>
        <family val="2"/>
        <scheme val="minor"/>
      </rPr>
      <t xml:space="preserve">
</t>
    </r>
  </si>
  <si>
    <t>Cross-Account &amp; Third-Party Integrations</t>
  </si>
  <si>
    <r>
      <t xml:space="preserve">Trust Boundary Access Constraints
</t>
    </r>
    <r>
      <rPr>
        <sz val="12"/>
        <color theme="1"/>
        <rFont val="Calibri"/>
        <family val="2"/>
        <scheme val="minor"/>
      </rPr>
      <t xml:space="preserve">
A) External trust links mandate unique external IDs and strict source network whitelists to prevent access abuse.
B) Third-party connections verify external account signatures, but lack granular permission scopes.
C) Cross-account access configurations rely on simple trust strings that are rarely audited or updated.
D) External service connections share wide administrative keys with zero verification constraints.</t>
    </r>
  </si>
  <si>
    <r>
      <t xml:space="preserve">Third-Party Vendor IAM Token Auditing
</t>
    </r>
    <r>
      <rPr>
        <sz val="12"/>
        <color theme="1"/>
        <rFont val="Calibri"/>
        <family val="2"/>
        <scheme val="minor"/>
      </rPr>
      <t xml:space="preserve">
A) Active tracking tools monitor external token usage patterns and revoke privileges automatically if anomalies occur.
B) Vendor authorization configurations undergo manual security access verification checks every quarter.
C) Vendor permission profiles remain active indefinitely, and are reviewed only during contract renewals.
D) Third-party connections access tenant systems without monitoring, tracking, or access restrictions.</t>
    </r>
  </si>
  <si>
    <r>
      <t xml:space="preserve">Inter-Tenant Cross-Account Access Policy
</t>
    </r>
    <r>
      <rPr>
        <sz val="12"/>
        <color theme="1"/>
        <rFont val="Calibri"/>
        <family val="2"/>
        <scheme val="minor"/>
      </rPr>
      <t xml:space="preserve">
A) Cross-account interactions use temporary roles with short-lived tokens that expire automatically within 1 hour
B) Token connections utilize long-lived keys that undergo mandatory manual rotations every 90 days.
C) Access configurations depend on static credentials that are shared across internal development teams.
D) Account communication routes operate without access filters, allowing unchecked cross-tenant movement.</t>
    </r>
  </si>
  <si>
    <r>
      <t xml:space="preserve">External Data Sync Endpoint Controls
</t>
    </r>
    <r>
      <rPr>
        <sz val="12"/>
        <color theme="1"/>
        <rFont val="Calibri"/>
        <family val="2"/>
        <scheme val="minor"/>
      </rPr>
      <t xml:space="preserve">
A) Data replication paths drop connections unless destination endpoints match explicit organizational whitelists.
B) Storage transfers use secure connections, but lack automated systems to track destination locations.
C) Data sync tasks rely entirely on engineers following manual destination documentation guidelines.
D) Systems allow data exports to any external storage bucket or destination without tracking or alerts.</t>
    </r>
  </si>
  <si>
    <r>
      <t xml:space="preserve">Marketplace SaaS Extension Approval
</t>
    </r>
    <r>
      <rPr>
        <sz val="12"/>
        <color theme="1"/>
        <rFont val="Calibri"/>
        <family val="2"/>
        <scheme val="minor"/>
      </rPr>
      <t xml:space="preserve">
A) Installing platform extensions requires formal approval from enterprise architecture and automated code analysis.
B) Extensions require administrative account authorization, but skip deep behavioral security reviews.
C) Development teams add marketplace extensions freely, provided the tool falls within baseline budgets.
D) Any individual tenant profile can install unvetted third-party marketplace tools without restrictions</t>
    </r>
  </si>
  <si>
    <t>Multi-Tenant Network Isolation</t>
  </si>
  <si>
    <r>
      <t xml:space="preserve">Virtual Private Network Cloud Architecture
</t>
    </r>
    <r>
      <rPr>
        <sz val="12"/>
        <color theme="1"/>
        <rFont val="Calibri"/>
        <family val="2"/>
        <scheme val="minor"/>
      </rPr>
      <t>A) Core network segments use strict micro-segmentation with zero default routing paths between system enclaves.
B) Cloud subnets split systems logically, but default security groups allow wide lateral traffic communication.
C) Network isolation relies on basic IP rules that are rarely reviewed and contain legacy definitions.
D) Internal instances share a single flat network segment with zero boundaries or routing restrictions.</t>
    </r>
  </si>
  <si>
    <r>
      <t xml:space="preserve">Internal Micro-Segmentation Enforcement
</t>
    </r>
    <r>
      <rPr>
        <sz val="12"/>
        <color theme="1"/>
        <rFont val="Calibri"/>
        <family val="2"/>
        <scheme val="minor"/>
      </rPr>
      <t>A) Micro-segmentation tools enforce explicit zero-trust whitelisting between application components.
B) Traffic separation checks source subnets, but lacks fine-grained application-level control filters.
C) Network boundaries are audited manually on an ad-hoc basis, frequently leaving path blind spots.
D) System instances communicate laterally across all ports without firewall or security group restrictions.</t>
    </r>
  </si>
  <si>
    <r>
      <t xml:space="preserve">Native Inter-Service VPC Peering Paths
</t>
    </r>
    <r>
      <rPr>
        <sz val="12"/>
        <color theme="1"/>
        <rFont val="Calibri"/>
        <family val="2"/>
        <scheme val="minor"/>
      </rPr>
      <t>A) Internal connections use explicit endpoint paths, bypassing the open web and public routing systems completely.
B) Network peering uses secure gateways, but lack strict security group filters on the internal transit links
C) System connections route traffic across public paths using software-level VPN tunnels.
D) Cross-service traffic routes over the open internet via public IPs without encryption or transit filters</t>
    </r>
  </si>
  <si>
    <r>
      <t xml:space="preserve">Transit Gateway Internal Control Routings
</t>
    </r>
    <r>
      <rPr>
        <sz val="12"/>
        <color theme="1"/>
        <rFont val="Calibri"/>
        <family val="2"/>
        <scheme val="minor"/>
      </rPr>
      <t>A) Central network firewalls inspect all cross-subnet traffic in real-time to drop anomalous packets automatically.
B) Routing hubs track network traffic metadata, but skip deep packet inspection of the data payloads.
C) Network traffic distribution follows basic routing tables without central security monitoring or filters.
D) Hub configurations connect all internal zones directly, allowing unchecked lateral movement if a compromise occurs.</t>
    </r>
  </si>
  <si>
    <r>
      <t xml:space="preserve">Hybrid On-Premises Interconnect Encryption
</t>
    </r>
    <r>
      <rPr>
        <sz val="12"/>
        <color theme="1"/>
        <rFont val="Calibri"/>
        <family val="2"/>
        <scheme val="minor"/>
      </rPr>
      <t>A) Dedicated data links encrypt all traffic using line-rate MACsec hardware controls combined with IPSec tunnels.
B) On-premises connections use standard encrypted tunnels, but use legacy key exchange parameters.
C) Hybrid connections route over unencrypted lines, relying entirely on network boundary firewalls.
D) Internal instances share a single flat network segment with zero boundaries or routing restrictions.</t>
    </r>
  </si>
  <si>
    <t>CSPM &amp; Continuous Compliance Auditing</t>
  </si>
  <si>
    <r>
      <t xml:space="preserve">Cloud Security Posture Management Tooling
</t>
    </r>
    <r>
      <rPr>
        <sz val="12"/>
        <color theme="1"/>
        <rFont val="Calibri"/>
        <family val="2"/>
        <scheme val="minor"/>
      </rPr>
      <t xml:space="preserve">
A) CSPM tools monitor the environment continuously, flagging misconfigurations against security baselines instantly.
B) Scanners evaluate environment compliance rules every week, generating static summary reports.
C) Environment configuration compliance reviews occur manually once or twice a year via checklist sweeps.
D) EConfigurations are completely unmonitored, allowing critical environment security drift to go unnoticed.</t>
    </r>
  </si>
  <si>
    <r>
      <t xml:space="preserve">Policy Violation Automated Remediation
</t>
    </r>
    <r>
      <rPr>
        <sz val="12"/>
        <color theme="1"/>
        <rFont val="Calibri"/>
        <family val="2"/>
        <scheme val="minor"/>
      </rPr>
      <t xml:space="preserve">
A) Automated system rules fix configuration violations (e.g., closing open ports) within 60 seconds of detection.
B) Violations trigger alert tickets, but fixing the issues requires manual engineering intervention.
C) Compliance corrections are grouped and addressed during monthly system maintenance windows.
D) Configuration vulnerabilities are left unaddressed due to the lack of automated tracking or alerts.</t>
    </r>
  </si>
  <si>
    <r>
      <t xml:space="preserve">Configuration Standard Alignment Tracking
</t>
    </r>
    <r>
      <rPr>
        <sz val="12"/>
        <color theme="1"/>
        <rFont val="Calibri"/>
        <family val="2"/>
        <scheme val="minor"/>
      </rPr>
      <t xml:space="preserve">
A) Systems trace alignment against international standards (e.g., CIS, NIST) via real-time dashboard tracking.
B) Operations teams verify alignment with security frameworks manually before major compliance audits.
C) Configuration frameworks reference general best practices without formal alignment with established standards.
D) Setups ignore international standards, leaving configurations unverified against industry benchmarks.</t>
    </r>
  </si>
  <si>
    <r>
      <t xml:space="preserve">Regulatory Compliance Dashboard Drift
</t>
    </r>
    <r>
      <rPr>
        <sz val="12"/>
        <color theme="1"/>
        <rFont val="Calibri"/>
        <family val="2"/>
        <scheme val="minor"/>
      </rPr>
      <t xml:space="preserve">
A) Compliance tools flag regulatory readiness drift instantly and calculate impact metrics automatically.
B) Regulatory reviews compare infrastructure settings against compliance mandates every quarter.
C) Compliance evaluation happens reactively after external audit notices pass through legal teams.
D) System spaces lack regulatory compliance monitoring, keeping team visibility low.</t>
    </r>
  </si>
  <si>
    <r>
      <t xml:space="preserve">Multi-Cloud Unified Control Visibility
</t>
    </r>
    <r>
      <rPr>
        <sz val="12"/>
        <color theme="1"/>
        <rFont val="Calibri"/>
        <family val="2"/>
        <scheme val="minor"/>
      </rPr>
      <t xml:space="preserve">
A) Centralized platforms monitor all cloud environments (AWS, Azure, GCP) through a single dashboard.
B) Scanners assess different cloud platforms independently, requiring manual effort to combine findings.
C) Security tracking focuses on a single primary cloud space, leaving secondary environments unmonitored.
D) Multi-cloud environments lack unified security monitoring, creating significant visibility blind spots.</t>
    </r>
  </si>
  <si>
    <t>DevSecOps &amp; CI/CD Pipeline Security</t>
  </si>
  <si>
    <r>
      <t xml:space="preserve">Pipeline Access Credential Management
</t>
    </r>
    <r>
      <rPr>
        <sz val="12"/>
        <color theme="1"/>
        <rFont val="Calibri"/>
        <family val="2"/>
        <scheme val="minor"/>
      </rPr>
      <t>A) Delivery pipelines use short-lived, transient OIDC tokens to deploy resources without using static keys.
B) Deployment pipelines use dedicated access keys that undergo automated rotation schedules every 90 days.
C) Delivery systems reuse shared administrative access codes that are saved within local environment files.
D) Cleartext pipeline credentials sit inside public source code files with zero rotation or monitoring.</t>
    </r>
  </si>
  <si>
    <r>
      <t xml:space="preserve">Code Repository Static Analysis (SAST)
</t>
    </r>
    <r>
      <rPr>
        <sz val="12"/>
        <color theme="1"/>
        <rFont val="Calibri"/>
        <family val="2"/>
        <scheme val="minor"/>
      </rPr>
      <t>A) Automated scanning tools check repository updates continuously, blocking pull requests that contain code flaws.
B) Scanners evaluate code files during build stages, but lack policy blocks to stop vulnerable deployments.
C) Code security checks occur manually before major application version changes go live.
D) Code repositories skip security analysis steps, allowing unverified software builds to reach production.</t>
    </r>
  </si>
  <si>
    <r>
      <t xml:space="preserve">Software Bill of Materials (SBOM) Tracking
</t>
    </r>
    <r>
      <rPr>
        <sz val="12"/>
        <color theme="1"/>
        <rFont val="Calibri"/>
        <family val="2"/>
        <scheme val="minor"/>
      </rPr>
      <t>A) Build pipelines generate verified dependency maps automatically and drop any build containing known vulnerable libraries.
B) Dependency scanners track package updates, but lack automated systems to block vulnerable components.
C) Library updates are evaluated manually during scheduled application optimization sweeps.
D) Workloads run unvetted open-source code libraries without visibility into nested component dependencies.</t>
    </r>
  </si>
  <si>
    <r>
      <t xml:space="preserve">Production Code Deployment Guardrails
</t>
    </r>
    <r>
      <rPr>
        <sz val="12"/>
        <color theme="1"/>
        <rFont val="Calibri"/>
        <family val="2"/>
        <scheme val="minor"/>
      </rPr>
      <t>A) Deployments require automated environment verification checks and multi-signature approvals before execution.
B) System updates require validation from a product manager within the repository configuration tool.
C) Code updates require approval from a peer engineer, who can sign off on their own delivery tasks.
D) Deployment pipelines update production code automatically without verification gates or review steps.</t>
    </r>
  </si>
  <si>
    <r>
      <t xml:space="preserve">Pipeline Runner Host Kernel Protection
</t>
    </r>
    <r>
      <rPr>
        <sz val="12"/>
        <color theme="1"/>
        <rFont val="Calibri"/>
        <family val="2"/>
        <scheme val="minor"/>
      </rPr>
      <t>A) Delivery steps run within single-use, isolated sandboxes that clear all data automatically after execution.
B) Build tasks run on shared local servers that require administrative overrides to execute system commands.
C) Runner instances operate with wide system access, risking code injection vulnerabilities across build files.
D) Pipeline hosts run with full system root permissions permanently, leaving execution layers open to attack.</t>
    </r>
  </si>
  <si>
    <t>Global Threat Posture Score</t>
  </si>
  <si>
    <t>Row Labels</t>
  </si>
  <si>
    <t>Grand Total</t>
  </si>
  <si>
    <t>Sum of Weight Multipliers</t>
  </si>
  <si>
    <t>Sum of Weighted Scores</t>
  </si>
  <si>
    <t>States</t>
  </si>
  <si>
    <t>Definitions</t>
  </si>
  <si>
    <t>Operational Impact</t>
  </si>
  <si>
    <t>The organization exhibits a highly mature security architecture. Technical controls are automated, segmentation is pristine, and privileged activities are stringently managed</t>
  </si>
  <si>
    <t>Low threat exposure. Highly resilient against sophisticated, multi-stage cyber attacks and insider risks</t>
  </si>
  <si>
    <t xml:space="preserve">🛡️ State 1: Cloud Optimized State  (Score: 0% – 40%)
</t>
  </si>
  <si>
    <t xml:space="preserve"> Core defensive perimeters are functional, and critical business validations are in place. However, some gaps exist due to manual dependencies or minor tracking lapses in asset lifecycles </t>
  </si>
  <si>
    <t xml:space="preserve"> Moderate threat exposure. Capable of deflecting general opportunistic vectors, but highly targeted campaigns could exploit human validation points </t>
  </si>
  <si>
    <t xml:space="preserve">⚠️ State 2: Cloud Resilient State (Score: 41% – 60%)
</t>
  </si>
  <si>
    <t>Major control vulnerabilities are present. The environment lacks robust segmentation, identity management has clear gaps, and security operations are reactive.</t>
  </si>
  <si>
    <r>
      <t xml:space="preserve">🚨 State 3: Elevated Cloud Exposure (Score: 61% – 80%)
</t>
    </r>
    <r>
      <rPr>
        <b/>
        <u/>
        <sz val="10"/>
        <color theme="1"/>
        <rFont val="Arial"/>
        <family val="2"/>
      </rPr>
      <t xml:space="preserve">
</t>
    </r>
  </si>
  <si>
    <t>High threat exposure. A compromise in the general corporate network carries a high probability of successful lateral movement into the SWIFT perimeter.</t>
  </si>
  <si>
    <t xml:space="preserve">Widespread failure or complete absence of standard security baselines. Credential hygiene is absent, access groups are unmonitored, and third-party interactions introduce severe risk </t>
  </si>
  <si>
    <t>Catastrophic exposure. The organization is exceptionally vulnerable to imminent fraud, ransomware distribution, or extensive long-term data exfiltration</t>
  </si>
  <si>
    <t>☠️ State 4: Critical Cloud Threat Posture (Score: 81% – 100%)</t>
  </si>
  <si>
    <t>© 2026 Amit Kulkarni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</si>
</sst>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theme="1"/>
      <name val="Calibri"/>
      <family val="2"/>
      <scheme val="minor"/>
    </font>
    <font>
      <sz val="14"/>
      <color theme="1"/>
      <name val="Calibri"/>
      <family val="2"/>
      <scheme val="minor"/>
    </font>
    <font>
      <b/>
      <sz val="10"/>
      <color theme="1"/>
      <name val="Arial"/>
      <family val="2"/>
    </font>
    <font>
      <sz val="12"/>
      <color theme="1"/>
      <name val="Calibri"/>
      <family val="2"/>
      <scheme val="minor"/>
    </font>
    <font>
      <u/>
      <sz val="12"/>
      <color theme="1"/>
      <name val="Calibri"/>
      <family val="2"/>
      <scheme val="minor"/>
    </font>
    <font>
      <b/>
      <sz val="14"/>
      <color theme="1"/>
      <name val="Calibri"/>
      <family val="2"/>
      <scheme val="minor"/>
    </font>
    <font>
      <b/>
      <u/>
      <sz val="12"/>
      <color theme="1"/>
      <name val="Calibri"/>
      <family val="2"/>
      <scheme val="minor"/>
    </font>
    <font>
      <b/>
      <sz val="12"/>
      <color theme="1"/>
      <name val="Calibri"/>
      <family val="2"/>
      <scheme val="minor"/>
    </font>
    <font>
      <b/>
      <u/>
      <sz val="10"/>
      <color theme="1"/>
      <name val="Arial"/>
      <family val="2"/>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rgb="FFDCDFE5"/>
      </bottom>
      <diagonal/>
    </border>
    <border>
      <left style="thin">
        <color theme="8"/>
      </left>
      <right style="thin">
        <color theme="8"/>
      </right>
      <top/>
      <bottom style="medium">
        <color theme="8"/>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4" fillId="0" borderId="0" xfId="0" applyFont="1" applyAlignment="1">
      <alignment horizontal="left" vertical="center" wrapText="1"/>
    </xf>
    <xf numFmtId="0" fontId="2" fillId="0" borderId="0" xfId="0" applyFont="1" applyAlignment="1">
      <alignment vertical="center" wrapText="1"/>
    </xf>
    <xf numFmtId="0" fontId="5" fillId="0" borderId="0" xfId="0" applyFont="1" applyAlignment="1">
      <alignment wrapText="1"/>
    </xf>
    <xf numFmtId="0" fontId="2" fillId="0" borderId="0" xfId="0" applyFont="1"/>
    <xf numFmtId="0" fontId="4"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6" fillId="0" borderId="0" xfId="0" applyFont="1"/>
    <xf numFmtId="1" fontId="2" fillId="0" borderId="0" xfId="0" applyNumberFormat="1" applyFont="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0" fillId="0" borderId="0" xfId="0" applyAlignment="1">
      <alignment vertical="top" wrapText="1"/>
    </xf>
    <xf numFmtId="0" fontId="6" fillId="0" borderId="2" xfId="0" applyFont="1" applyBorder="1"/>
    <xf numFmtId="0" fontId="0" fillId="0" borderId="0" xfId="0" applyAlignment="1" applyProtection="1">
      <alignment wrapText="1"/>
      <protection hidden="1"/>
    </xf>
    <xf numFmtId="2" fontId="2" fillId="0" borderId="0" xfId="0" applyNumberFormat="1" applyFont="1" applyAlignment="1" applyProtection="1">
      <alignment vertical="top" wrapText="1"/>
      <protection hidden="1"/>
    </xf>
    <xf numFmtId="2" fontId="2" fillId="0" borderId="0" xfId="0" applyNumberFormat="1" applyFont="1" applyProtection="1">
      <protection hidden="1"/>
    </xf>
    <xf numFmtId="10" fontId="2" fillId="0" borderId="0" xfId="0" applyNumberFormat="1" applyFont="1" applyProtection="1">
      <protection hidden="1"/>
    </xf>
    <xf numFmtId="0" fontId="8" fillId="0" borderId="0" xfId="0" applyFont="1"/>
    <xf numFmtId="0" fontId="0" fillId="0" borderId="0" xfId="0" applyAlignment="1" applyProtection="1">
      <alignment wrapText="1"/>
      <protection locked="0"/>
    </xf>
    <xf numFmtId="0" fontId="10" fillId="0" borderId="0" xfId="0" applyFont="1"/>
    <xf numFmtId="0" fontId="2" fillId="0" borderId="0" xfId="0" applyFont="1" applyProtection="1">
      <protection hidden="1"/>
    </xf>
  </cellXfs>
  <cellStyles count="1">
    <cellStyle name="Normal" xfId="0" builtinId="0"/>
  </cellStyles>
  <dxfs count="11">
    <dxf>
      <alignment horizontal="general" vertical="bottom" textRotation="0" wrapText="1" indent="0" justifyLastLine="0" shrinkToFit="0" readingOrder="0"/>
      <protection locked="0" hidden="0"/>
    </dxf>
    <dxf>
      <alignment horizontal="general" vertical="top" textRotation="0" wrapText="1" indent="0" justifyLastLine="0" shrinkToFit="0" readingOrder="0"/>
    </dxf>
    <dxf>
      <alignment horizontal="general" vertical="top" textRotation="0" wrapText="1" indent="0" justifyLastLine="0" shrinkToFit="0" readingOrder="0"/>
    </dxf>
    <dxf>
      <border outline="0">
        <top style="thin">
          <color theme="8"/>
        </top>
      </border>
    </dxf>
    <dxf>
      <border outline="0">
        <bottom style="medium">
          <color theme="8"/>
        </bottom>
      </border>
    </dxf>
    <dxf>
      <font>
        <b/>
        <i val="0"/>
        <strike val="0"/>
        <condense val="0"/>
        <extend val="0"/>
        <outline val="0"/>
        <shadow val="0"/>
        <u val="none"/>
        <vertAlign val="baseline"/>
        <sz val="14"/>
        <color theme="1"/>
        <name val="Calibri"/>
        <family val="2"/>
        <scheme val="minor"/>
      </font>
      <border diagonalUp="0" diagonalDown="0" outline="0">
        <left style="thin">
          <color theme="8"/>
        </left>
        <right style="thin">
          <color theme="8"/>
        </right>
        <top/>
        <bottom/>
      </border>
    </dxf>
    <dxf>
      <alignment horizontal="general" vertical="bottom" textRotation="0" wrapText="1" indent="0" justifyLastLine="0" shrinkToFit="0" readingOrder="0"/>
      <protection locked="1" hidden="1"/>
    </dxf>
    <dxf>
      <font>
        <b val="0"/>
        <i val="0"/>
        <strike val="0"/>
        <condense val="0"/>
        <extend val="0"/>
        <outline val="0"/>
        <shadow val="0"/>
        <u/>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border outline="0">
        <bottom style="medium">
          <color rgb="FFDCDFE5"/>
        </bottom>
      </border>
    </dxf>
    <dxf>
      <font>
        <b/>
        <i val="0"/>
        <strike val="0"/>
        <condense val="0"/>
        <extend val="0"/>
        <outline val="0"/>
        <shadow val="0"/>
        <u val="none"/>
        <vertAlign val="baseline"/>
        <sz val="16"/>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[Cloud_Security_Assessment.xlsx]Results!PivotTable1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Results!$C$23</c:f>
              <c:strCache>
                <c:ptCount val="1"/>
                <c:pt idx="0">
                  <c:v>Sum of Weight Multipliers</c:v>
                </c:pt>
              </c:strCache>
            </c:strRef>
          </c:tx>
          <c:spPr>
            <a:solidFill>
              <a:schemeClr val="accent1"/>
            </a:solidFill>
            <a:ln>
              <a:noFill/>
            </a:ln>
            <a:effectLst/>
          </c:spPr>
          <c:invertIfNegative val="0"/>
          <c:cat>
            <c:strRef>
              <c:f>Results!$B$24:$B$40</c:f>
              <c:strCache>
                <c:ptCount val="16"/>
                <c:pt idx="0">
                  <c:v>Audit Logging, SIEM, &amp; Cloud Observability</c:v>
                </c:pt>
                <c:pt idx="1">
                  <c:v>Backup, Disaster Recovery &amp; Ransomware Resilience</c:v>
                </c:pt>
                <c:pt idx="2">
                  <c:v>Cloud Infrastructure Perimeter Security</c:v>
                </c:pt>
                <c:pt idx="3">
                  <c:v>Compute Hardening &amp; Vulnerability Management</c:v>
                </c:pt>
                <c:pt idx="4">
                  <c:v>Control Plane &amp; API Integrity</c:v>
                </c:pt>
                <c:pt idx="5">
                  <c:v>Cross-Account &amp; Third-Party Integrations</c:v>
                </c:pt>
                <c:pt idx="6">
                  <c:v>CSPM &amp; Continuous Compliance Auditing</c:v>
                </c:pt>
                <c:pt idx="7">
                  <c:v>Data Protection &amp; Encryption at Rest/In-Transit</c:v>
                </c:pt>
                <c:pt idx="8">
                  <c:v>DevSecOps &amp; CI/CD Pipeline Security</c:v>
                </c:pt>
                <c:pt idx="9">
                  <c:v>IAM &amp; Least Privilege</c:v>
                </c:pt>
                <c:pt idx="10">
                  <c:v>Infrastructure as Code (IaC) &amp; Configuration Drift</c:v>
                </c:pt>
                <c:pt idx="11">
                  <c:v>Multi-Tenant Network Isolation</c:v>
                </c:pt>
                <c:pt idx="12">
                  <c:v>Operating System Privileged Account Control</c:v>
                </c:pt>
                <c:pt idx="13">
                  <c:v>Secrets &amp; Key Management</c:v>
                </c:pt>
                <c:pt idx="14">
                  <c:v>Serverless &amp; Container Runtime Protection</c:v>
                </c:pt>
                <c:pt idx="15">
                  <c:v>Storage &amp; Database Security Configuration</c:v>
                </c:pt>
              </c:strCache>
            </c:strRef>
          </c:cat>
          <c:val>
            <c:numRef>
              <c:f>Results!$C$24:$C$40</c:f>
              <c:numCache>
                <c:formatCode>0</c:formatCode>
                <c:ptCount val="16"/>
                <c:pt idx="0">
                  <c:v>2</c:v>
                </c:pt>
                <c:pt idx="1">
                  <c:v>1</c:v>
                </c:pt>
                <c:pt idx="2">
                  <c:v>3</c:v>
                </c:pt>
                <c:pt idx="3">
                  <c:v>2</c:v>
                </c:pt>
                <c:pt idx="4">
                  <c:v>2</c:v>
                </c:pt>
                <c:pt idx="5">
                  <c:v>2</c:v>
                </c:pt>
                <c:pt idx="6">
                  <c:v>1</c:v>
                </c:pt>
                <c:pt idx="7">
                  <c:v>2</c:v>
                </c:pt>
                <c:pt idx="8">
                  <c:v>2</c:v>
                </c:pt>
                <c:pt idx="9">
                  <c:v>3</c:v>
                </c:pt>
                <c:pt idx="10">
                  <c:v>1</c:v>
                </c:pt>
                <c:pt idx="11">
                  <c:v>3</c:v>
                </c:pt>
                <c:pt idx="12">
                  <c:v>3</c:v>
                </c:pt>
                <c:pt idx="13">
                  <c:v>3</c:v>
                </c:pt>
                <c:pt idx="14">
                  <c:v>2</c:v>
                </c:pt>
                <c:pt idx="15">
                  <c:v>2</c:v>
                </c:pt>
              </c:numCache>
            </c:numRef>
          </c:val>
          <c:extLst>
            <c:ext xmlns:c16="http://schemas.microsoft.com/office/drawing/2014/chart" uri="{C3380CC4-5D6E-409C-BE32-E72D297353CC}">
              <c16:uniqueId val="{00000000-089D-4DA2-A8B6-17305A4B4F99}"/>
            </c:ext>
          </c:extLst>
        </c:ser>
        <c:ser>
          <c:idx val="1"/>
          <c:order val="1"/>
          <c:tx>
            <c:strRef>
              <c:f>Results!$D$23</c:f>
              <c:strCache>
                <c:ptCount val="1"/>
                <c:pt idx="0">
                  <c:v>Sum of Weighted Scores</c:v>
                </c:pt>
              </c:strCache>
            </c:strRef>
          </c:tx>
          <c:spPr>
            <a:solidFill>
              <a:schemeClr val="accent2"/>
            </a:solidFill>
            <a:ln>
              <a:noFill/>
            </a:ln>
            <a:effectLst/>
          </c:spPr>
          <c:invertIfNegative val="0"/>
          <c:cat>
            <c:strRef>
              <c:f>Results!$B$24:$B$40</c:f>
              <c:strCache>
                <c:ptCount val="16"/>
                <c:pt idx="0">
                  <c:v>Audit Logging, SIEM, &amp; Cloud Observability</c:v>
                </c:pt>
                <c:pt idx="1">
                  <c:v>Backup, Disaster Recovery &amp; Ransomware Resilience</c:v>
                </c:pt>
                <c:pt idx="2">
                  <c:v>Cloud Infrastructure Perimeter Security</c:v>
                </c:pt>
                <c:pt idx="3">
                  <c:v>Compute Hardening &amp; Vulnerability Management</c:v>
                </c:pt>
                <c:pt idx="4">
                  <c:v>Control Plane &amp; API Integrity</c:v>
                </c:pt>
                <c:pt idx="5">
                  <c:v>Cross-Account &amp; Third-Party Integrations</c:v>
                </c:pt>
                <c:pt idx="6">
                  <c:v>CSPM &amp; Continuous Compliance Auditing</c:v>
                </c:pt>
                <c:pt idx="7">
                  <c:v>Data Protection &amp; Encryption at Rest/In-Transit</c:v>
                </c:pt>
                <c:pt idx="8">
                  <c:v>DevSecOps &amp; CI/CD Pipeline Security</c:v>
                </c:pt>
                <c:pt idx="9">
                  <c:v>IAM &amp; Least Privilege</c:v>
                </c:pt>
                <c:pt idx="10">
                  <c:v>Infrastructure as Code (IaC) &amp; Configuration Drift</c:v>
                </c:pt>
                <c:pt idx="11">
                  <c:v>Multi-Tenant Network Isolation</c:v>
                </c:pt>
                <c:pt idx="12">
                  <c:v>Operating System Privileged Account Control</c:v>
                </c:pt>
                <c:pt idx="13">
                  <c:v>Secrets &amp; Key Management</c:v>
                </c:pt>
                <c:pt idx="14">
                  <c:v>Serverless &amp; Container Runtime Protection</c:v>
                </c:pt>
                <c:pt idx="15">
                  <c:v>Storage &amp; Database Security Configuration</c:v>
                </c:pt>
              </c:strCache>
            </c:strRef>
          </c:cat>
          <c:val>
            <c:numRef>
              <c:f>Results!$D$24:$D$40</c:f>
              <c:numCache>
                <c:formatCode>0.00</c:formatCode>
                <c:ptCount val="16"/>
                <c:pt idx="0">
                  <c:v>1.3</c:v>
                </c:pt>
                <c:pt idx="1">
                  <c:v>0.45</c:v>
                </c:pt>
                <c:pt idx="2">
                  <c:v>1.5</c:v>
                </c:pt>
                <c:pt idx="3">
                  <c:v>1.625</c:v>
                </c:pt>
                <c:pt idx="4">
                  <c:v>1.2</c:v>
                </c:pt>
                <c:pt idx="5">
                  <c:v>1.1000000000000001</c:v>
                </c:pt>
                <c:pt idx="6">
                  <c:v>0.8</c:v>
                </c:pt>
                <c:pt idx="7">
                  <c:v>1.4166666666666667</c:v>
                </c:pt>
                <c:pt idx="8">
                  <c:v>1.2</c:v>
                </c:pt>
                <c:pt idx="9">
                  <c:v>2.0999999999999996</c:v>
                </c:pt>
                <c:pt idx="10">
                  <c:v>0.55000000000000004</c:v>
                </c:pt>
                <c:pt idx="11">
                  <c:v>2.0999999999999996</c:v>
                </c:pt>
                <c:pt idx="12">
                  <c:v>1.875</c:v>
                </c:pt>
                <c:pt idx="13">
                  <c:v>1.125</c:v>
                </c:pt>
                <c:pt idx="14">
                  <c:v>1.6</c:v>
                </c:pt>
                <c:pt idx="15">
                  <c:v>1.7</c:v>
                </c:pt>
              </c:numCache>
            </c:numRef>
          </c:val>
          <c:extLst>
            <c:ext xmlns:c16="http://schemas.microsoft.com/office/drawing/2014/chart" uri="{C3380CC4-5D6E-409C-BE32-E72D297353CC}">
              <c16:uniqueId val="{00000002-089D-4DA2-A8B6-17305A4B4F99}"/>
            </c:ext>
          </c:extLst>
        </c:ser>
        <c:dLbls>
          <c:showLegendKey val="0"/>
          <c:showVal val="0"/>
          <c:showCatName val="0"/>
          <c:showSerName val="0"/>
          <c:showPercent val="0"/>
          <c:showBubbleSize val="0"/>
        </c:dLbls>
        <c:gapWidth val="219"/>
        <c:overlap val="-27"/>
        <c:axId val="2116610863"/>
        <c:axId val="2116306511"/>
      </c:barChart>
      <c:catAx>
        <c:axId val="2116610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306511"/>
        <c:crosses val="autoZero"/>
        <c:auto val="1"/>
        <c:lblAlgn val="ctr"/>
        <c:lblOffset val="100"/>
        <c:noMultiLvlLbl val="0"/>
      </c:catAx>
      <c:valAx>
        <c:axId val="2116306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61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640080</xdr:colOff>
      <xdr:row>21</xdr:row>
      <xdr:rowOff>179070</xdr:rowOff>
    </xdr:from>
    <xdr:to>
      <xdr:col>0</xdr:col>
      <xdr:colOff>4640580</xdr:colOff>
      <xdr:row>36</xdr:row>
      <xdr:rowOff>179070</xdr:rowOff>
    </xdr:to>
    <xdr:graphicFrame macro="">
      <xdr:nvGraphicFramePr>
        <xdr:cNvPr id="2" name="Chart 1">
          <a:extLst>
            <a:ext uri="{FF2B5EF4-FFF2-40B4-BE49-F238E27FC236}">
              <a16:creationId xmlns:a16="http://schemas.microsoft.com/office/drawing/2014/main" id="{4995BC56-EE1B-3864-104D-F43087639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lkarni" refreshedDate="46205.648797222224" createdVersion="8" refreshedVersion="8" minRefreshableVersion="3" recordCount="16" xr:uid="{0DFD26BC-3F52-4FD4-9D07-68888D994B35}">
  <cacheSource type="worksheet">
    <worksheetSource ref="A1:D17" sheet="Results"/>
  </cacheSource>
  <cacheFields count="4">
    <cacheField name="Category" numFmtId="0">
      <sharedItems count="16">
        <s v="IAM &amp; Least Privilege"/>
        <s v="Cloud Infrastructure Perimeter Security"/>
        <s v="Operating System Privileged Account Control"/>
        <s v="Compute Hardening &amp; Vulnerability Management"/>
        <s v="Data Protection &amp; Encryption at Rest/In-Transit"/>
        <s v="Secrets &amp; Key Management"/>
        <s v="Storage &amp; Database Security Configuration"/>
        <s v="Backup, Disaster Recovery &amp; Ransomware Resilience"/>
        <s v="Control Plane &amp; API Integrity"/>
        <s v="Serverless &amp; Container Runtime Protection"/>
        <s v="Audit Logging, SIEM, &amp; Cloud Observability"/>
        <s v="Infrastructure as Code (IaC) &amp; Configuration Drift"/>
        <s v="Cross-Account &amp; Third-Party Integrations"/>
        <s v="Multi-Tenant Network Isolation"/>
        <s v="CSPM &amp; Continuous Compliance Auditing"/>
        <s v="DevSecOps &amp; CI/CD Pipeline Security"/>
      </sharedItems>
    </cacheField>
    <cacheField name="Category Score Formula" numFmtId="2">
      <sharedItems containsSemiMixedTypes="0" containsString="0" containsNumber="1" minValue="0.375" maxValue="0.85"/>
    </cacheField>
    <cacheField name="Weight Multipliers" numFmtId="1">
      <sharedItems containsSemiMixedTypes="0" containsString="0" containsNumber="1" containsInteger="1" minValue="1" maxValue="3"/>
    </cacheField>
    <cacheField name="Weighted Scores" numFmtId="2">
      <sharedItems containsSemiMixedTypes="0" containsString="0" containsNumber="1" minValue="0.45" maxValue="2.0999999999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0.7"/>
    <n v="3"/>
    <n v="2.0999999999999996"/>
  </r>
  <r>
    <x v="1"/>
    <n v="0.5"/>
    <n v="3"/>
    <n v="1.5"/>
  </r>
  <r>
    <x v="2"/>
    <n v="0.625"/>
    <n v="3"/>
    <n v="1.875"/>
  </r>
  <r>
    <x v="3"/>
    <n v="0.8125"/>
    <n v="2"/>
    <n v="1.625"/>
  </r>
  <r>
    <x v="4"/>
    <n v="0.70833333333333337"/>
    <n v="2"/>
    <n v="1.4166666666666667"/>
  </r>
  <r>
    <x v="5"/>
    <n v="0.375"/>
    <n v="3"/>
    <n v="1.125"/>
  </r>
  <r>
    <x v="6"/>
    <n v="0.85"/>
    <n v="2"/>
    <n v="1.7"/>
  </r>
  <r>
    <x v="7"/>
    <n v="0.45"/>
    <n v="1"/>
    <n v="0.45"/>
  </r>
  <r>
    <x v="8"/>
    <n v="0.6"/>
    <n v="2"/>
    <n v="1.2"/>
  </r>
  <r>
    <x v="9"/>
    <n v="0.8"/>
    <n v="2"/>
    <n v="1.6"/>
  </r>
  <r>
    <x v="10"/>
    <n v="0.65"/>
    <n v="2"/>
    <n v="1.3"/>
  </r>
  <r>
    <x v="11"/>
    <n v="0.55000000000000004"/>
    <n v="1"/>
    <n v="0.55000000000000004"/>
  </r>
  <r>
    <x v="12"/>
    <n v="0.55000000000000004"/>
    <n v="2"/>
    <n v="1.1000000000000001"/>
  </r>
  <r>
    <x v="13"/>
    <n v="0.7"/>
    <n v="3"/>
    <n v="2.0999999999999996"/>
  </r>
  <r>
    <x v="14"/>
    <n v="0.8"/>
    <n v="1"/>
    <n v="0.8"/>
  </r>
  <r>
    <x v="15"/>
    <n v="0.6"/>
    <n v="2"/>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54C481-2366-4FC4-84A3-2AB441592D8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3:D40" firstHeaderRow="0" firstDataRow="1" firstDataCol="1"/>
  <pivotFields count="4">
    <pivotField axis="axisRow" showAll="0">
      <items count="17">
        <item x="10"/>
        <item x="7"/>
        <item x="1"/>
        <item x="3"/>
        <item x="8"/>
        <item x="12"/>
        <item x="14"/>
        <item x="4"/>
        <item x="15"/>
        <item x="0"/>
        <item x="11"/>
        <item x="13"/>
        <item x="2"/>
        <item x="5"/>
        <item x="9"/>
        <item x="6"/>
        <item t="default"/>
      </items>
    </pivotField>
    <pivotField numFmtId="2" showAll="0"/>
    <pivotField dataField="1" numFmtId="1" showAll="0"/>
    <pivotField dataField="1" numFmtId="2" showAl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Weight Multipliers" fld="2" baseField="0" baseItem="0" numFmtId="1"/>
    <dataField name="Sum of Weighted Scores" fld="3"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0B28C5-67E5-426D-8A4B-D0120A7E64AD}" name="Table1" displayName="Table1" ref="A1:D76" totalsRowShown="0" headerRowDxfId="10" headerRowBorderDxfId="9">
  <autoFilter ref="A1:D76" xr:uid="{D90B28C5-67E5-426D-8A4B-D0120A7E64AD}"/>
  <tableColumns count="4">
    <tableColumn id="1" xr3:uid="{8431A441-4ECE-4A90-A222-02A773BE052E}" name="Category" dataDxfId="8"/>
    <tableColumn id="2" xr3:uid="{95B0C528-7571-4ECB-9F08-6EFA807C316D}" name="Client-Specific Question" dataDxfId="7"/>
    <tableColumn id="3" xr3:uid="{28F77A17-2EC1-4471-B442-2EE24E12C641}" name="User Priority" dataDxfId="0"/>
    <tableColumn id="4" xr3:uid="{F1E6196C-5F62-481B-B30A-58A8AEDCBC71}" name="User Score" dataDxfId="6">
      <calculatedColumnFormula array="1">_xlfn.SWITCH(C2,"A", 0.25,"B", 0.5, "C", 0.75,"D", 1)</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4C87D8-1263-4F62-9FC3-C224CEC34FAD}" name="Table3" displayName="Table3" ref="A1:D21" totalsRowShown="0">
  <autoFilter ref="A1:D21" xr:uid="{4E4C87D8-1263-4F62-9FC3-C224CEC34FAD}"/>
  <tableColumns count="4">
    <tableColumn id="1" xr3:uid="{4D7EB392-A115-49F7-A29D-0F23882595BF}" name="Category"/>
    <tableColumn id="2" xr3:uid="{5B815542-F563-41CF-97A6-84DC77833A35}" name="Category Score Formula"/>
    <tableColumn id="3" xr3:uid="{65D3F48E-49A8-4CAC-9789-C19A14E41D26}" name="Weight Multipliers"/>
    <tableColumn id="4" xr3:uid="{643FDAAE-93A3-4E90-921E-36A8EEB6C9CA}" name="Weighted Scores"/>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DA1A1-3406-4AF6-98DD-0ED725F042BA}" name="Table4" displayName="Table4" ref="A1:C5" totalsRowShown="0" headerRowDxfId="5" headerRowBorderDxfId="4" tableBorderDxfId="3">
  <autoFilter ref="A1:C5" xr:uid="{5F2DA1A1-3406-4AF6-98DD-0ED725F042BA}"/>
  <tableColumns count="3">
    <tableColumn id="1" xr3:uid="{F014942C-3959-42B4-BE32-78D0A70F5CF7}" name="States"/>
    <tableColumn id="2" xr3:uid="{79FFC482-DD0D-4E1E-85E6-B2A80E0413F4}" name="Definitions" dataDxfId="2"/>
    <tableColumn id="3" xr3:uid="{E69330B5-6666-488B-9EDC-D0D797F513EB}" name="Operational Impact" dataDxfId="1"/>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1769-FCDF-4B8B-B2E2-910F9E184AE9}">
  <dimension ref="A1:D79"/>
  <sheetViews>
    <sheetView topLeftCell="A52" zoomScale="82" zoomScaleNormal="82" workbookViewId="0">
      <selection activeCell="C54" sqref="C54"/>
    </sheetView>
  </sheetViews>
  <sheetFormatPr defaultRowHeight="14.4" x14ac:dyDescent="0.3"/>
  <cols>
    <col min="1" max="1" width="68.88671875" customWidth="1"/>
    <col min="2" max="2" width="125.77734375" customWidth="1"/>
    <col min="3" max="3" width="33.77734375" customWidth="1"/>
    <col min="4" max="4" width="32.5546875" customWidth="1"/>
    <col min="5" max="5" width="40.5546875" customWidth="1"/>
  </cols>
  <sheetData>
    <row r="1" spans="1:4" ht="21.6" thickBot="1" x14ac:dyDescent="0.35">
      <c r="A1" s="1" t="s">
        <v>0</v>
      </c>
      <c r="B1" s="1" t="s">
        <v>1</v>
      </c>
      <c r="C1" s="1" t="s">
        <v>2</v>
      </c>
      <c r="D1" s="1" t="s">
        <v>3</v>
      </c>
    </row>
    <row r="2" spans="1:4" ht="93.6" x14ac:dyDescent="0.35">
      <c r="A2" s="3" t="s">
        <v>13</v>
      </c>
      <c r="B2" s="4" t="s">
        <v>14</v>
      </c>
      <c r="C2" s="26" t="s">
        <v>8</v>
      </c>
      <c r="D2" s="21" cm="1">
        <f t="array" ref="D2">_xlfn.SWITCH(C2,"A", 0.25,"B", 0.5, "C", 0.75,"D", 1)</f>
        <v>1</v>
      </c>
    </row>
    <row r="3" spans="1:4" ht="93.6" x14ac:dyDescent="0.35">
      <c r="A3" s="3" t="s">
        <v>13</v>
      </c>
      <c r="B3" s="4" t="s">
        <v>15</v>
      </c>
      <c r="C3" s="26" t="s">
        <v>8</v>
      </c>
      <c r="D3" s="21" cm="1">
        <f t="array" ref="D3">_xlfn.SWITCH(C3,"A", 0.25,"B", 0.5, "C", 0.75,"D", 1)</f>
        <v>1</v>
      </c>
    </row>
    <row r="4" spans="1:4" ht="100.2" customHeight="1" x14ac:dyDescent="0.35">
      <c r="A4" s="3" t="s">
        <v>13</v>
      </c>
      <c r="B4" s="4" t="s">
        <v>16</v>
      </c>
      <c r="C4" s="26" t="s">
        <v>8</v>
      </c>
      <c r="D4" s="21" cm="1">
        <f t="array" ref="D4">_xlfn.SWITCH(C4,"A", 0.25,"B", 0.5, "C", 0.75,"D", 1)</f>
        <v>1</v>
      </c>
    </row>
    <row r="5" spans="1:4" ht="93.6" x14ac:dyDescent="0.35">
      <c r="A5" s="3" t="s">
        <v>13</v>
      </c>
      <c r="B5" s="4" t="s">
        <v>17</v>
      </c>
      <c r="C5" s="26" t="s">
        <v>8</v>
      </c>
      <c r="D5" s="21" cm="1">
        <f t="array" ref="D5">_xlfn.SWITCH(C5,"A", 0.25,"B", 0.5, "C", 0.75,"D", 1)</f>
        <v>1</v>
      </c>
    </row>
    <row r="6" spans="1:4" ht="93.6" x14ac:dyDescent="0.35">
      <c r="A6" s="3" t="s">
        <v>13</v>
      </c>
      <c r="B6" s="4" t="s">
        <v>18</v>
      </c>
      <c r="C6" s="26" t="s">
        <v>8</v>
      </c>
      <c r="D6" s="21" cm="1">
        <f t="array" ref="D6">_xlfn.SWITCH(C6,"A", 0.25,"B", 0.5, "C", 0.75,"D", 1)</f>
        <v>1</v>
      </c>
    </row>
    <row r="7" spans="1:4" ht="109.2" x14ac:dyDescent="0.3">
      <c r="A7" s="5" t="s">
        <v>19</v>
      </c>
      <c r="B7" s="6" t="s">
        <v>20</v>
      </c>
      <c r="C7" s="26" t="s">
        <v>8</v>
      </c>
      <c r="D7" s="21" cm="1">
        <f t="array" ref="D7">_xlfn.SWITCH(C7,"A", 0.25,"B", 0.5, "C", 0.75,"D", 1)</f>
        <v>1</v>
      </c>
    </row>
    <row r="8" spans="1:4" ht="109.2" x14ac:dyDescent="0.3">
      <c r="A8" s="5" t="s">
        <v>19</v>
      </c>
      <c r="B8" s="6" t="s">
        <v>21</v>
      </c>
      <c r="C8" s="26" t="s">
        <v>8</v>
      </c>
      <c r="D8" s="21" cm="1">
        <f t="array" ref="D8">_xlfn.SWITCH(C8,"A", 0.25,"B", 0.5, "C", 0.75,"D", 1)</f>
        <v>1</v>
      </c>
    </row>
    <row r="9" spans="1:4" ht="109.2" x14ac:dyDescent="0.3">
      <c r="A9" s="5" t="s">
        <v>19</v>
      </c>
      <c r="B9" s="6" t="s">
        <v>22</v>
      </c>
      <c r="C9" s="26" t="s">
        <v>8</v>
      </c>
      <c r="D9" s="21" cm="1">
        <f t="array" ref="D9">_xlfn.SWITCH(C9,"A", 0.25,"B", 0.5, "C", 0.75,"D", 1)</f>
        <v>1</v>
      </c>
    </row>
    <row r="10" spans="1:4" ht="109.2" x14ac:dyDescent="0.3">
      <c r="A10" s="5" t="s">
        <v>5</v>
      </c>
      <c r="B10" s="6" t="s">
        <v>23</v>
      </c>
      <c r="C10" s="26" t="s">
        <v>8</v>
      </c>
      <c r="D10" s="21" cm="1">
        <f t="array" ref="D10">_xlfn.SWITCH(C10,"A", 0.25,"B", 0.5, "C", 0.75,"D", 1)</f>
        <v>1</v>
      </c>
    </row>
    <row r="11" spans="1:4" ht="93.6" x14ac:dyDescent="0.3">
      <c r="A11" s="5" t="s">
        <v>5</v>
      </c>
      <c r="B11" s="6" t="s">
        <v>24</v>
      </c>
      <c r="C11" s="26" t="s">
        <v>8</v>
      </c>
      <c r="D11" s="21" cm="1">
        <f t="array" ref="D11">_xlfn.SWITCH(C11,"A", 0.25,"B", 0.5, "C", 0.75,"D", 1)</f>
        <v>1</v>
      </c>
    </row>
    <row r="12" spans="1:4" ht="94.2" x14ac:dyDescent="0.35">
      <c r="A12" s="7" t="s">
        <v>25</v>
      </c>
      <c r="B12" s="6" t="s">
        <v>26</v>
      </c>
      <c r="C12" s="26" t="s">
        <v>8</v>
      </c>
      <c r="D12" s="21" cm="1">
        <f t="array" ref="D12">_xlfn.SWITCH(C12,"A", 0.25,"B", 0.5, "C", 0.75,"D", 1)</f>
        <v>1</v>
      </c>
    </row>
    <row r="13" spans="1:4" ht="109.8" x14ac:dyDescent="0.35">
      <c r="A13" s="7" t="s">
        <v>25</v>
      </c>
      <c r="B13" s="6" t="s">
        <v>27</v>
      </c>
      <c r="C13" s="26" t="s">
        <v>8</v>
      </c>
      <c r="D13" s="21" cm="1">
        <f t="array" ref="D13">_xlfn.SWITCH(C13,"A", 0.25,"B", 0.5, "C", 0.75,"D", 1)</f>
        <v>1</v>
      </c>
    </row>
    <row r="14" spans="1:4" ht="94.2" x14ac:dyDescent="0.35">
      <c r="A14" s="7" t="s">
        <v>25</v>
      </c>
      <c r="B14" s="6" t="s">
        <v>28</v>
      </c>
      <c r="C14" s="26" t="s">
        <v>8</v>
      </c>
      <c r="D14" s="21" cm="1">
        <f t="array" ref="D14">_xlfn.SWITCH(C14,"A", 0.25,"B", 0.5, "C", 0.75,"D", 1)</f>
        <v>1</v>
      </c>
    </row>
    <row r="15" spans="1:4" ht="94.2" x14ac:dyDescent="0.35">
      <c r="A15" s="7" t="s">
        <v>25</v>
      </c>
      <c r="B15" s="6" t="s">
        <v>30</v>
      </c>
      <c r="C15" s="26" t="s">
        <v>8</v>
      </c>
      <c r="D15" s="21"/>
    </row>
    <row r="16" spans="1:4" ht="94.2" x14ac:dyDescent="0.35">
      <c r="A16" s="7" t="s">
        <v>25</v>
      </c>
      <c r="B16" s="6" t="s">
        <v>29</v>
      </c>
      <c r="C16" s="26" t="s">
        <v>8</v>
      </c>
      <c r="D16" s="21" cm="1">
        <f t="array" ref="D16">_xlfn.SWITCH(C16,"A", 0.25,"B", 0.5, "C", 0.75,"D", 1)</f>
        <v>1</v>
      </c>
    </row>
    <row r="17" spans="1:4" ht="94.2" x14ac:dyDescent="0.35">
      <c r="A17" s="7" t="s">
        <v>32</v>
      </c>
      <c r="B17" s="6" t="s">
        <v>31</v>
      </c>
      <c r="C17" s="26" t="s">
        <v>8</v>
      </c>
      <c r="D17" s="21" cm="1">
        <f t="array" ref="D17">_xlfn.SWITCH(C17,"A", 0.25,"B", 0.5, "C", 0.75,"D", 1)</f>
        <v>1</v>
      </c>
    </row>
    <row r="18" spans="1:4" ht="94.2" x14ac:dyDescent="0.35">
      <c r="A18" s="3" t="s">
        <v>32</v>
      </c>
      <c r="B18" s="6" t="s">
        <v>33</v>
      </c>
      <c r="C18" s="26" t="s">
        <v>8</v>
      </c>
      <c r="D18" s="21" cm="1">
        <f t="array" ref="D18">_xlfn.SWITCH(C18,"A", 0.25,"B", 0.5, "C", 0.75,"D", 1)</f>
        <v>1</v>
      </c>
    </row>
    <row r="19" spans="1:4" ht="94.2" x14ac:dyDescent="0.35">
      <c r="A19" s="3" t="s">
        <v>32</v>
      </c>
      <c r="B19" s="6" t="s">
        <v>34</v>
      </c>
      <c r="C19" s="26" t="s">
        <v>8</v>
      </c>
      <c r="D19" s="21" cm="1">
        <f t="array" ref="D19">_xlfn.SWITCH(C19,"A", 0.25,"B", 0.5, "C", 0.75,"D", 1)</f>
        <v>1</v>
      </c>
    </row>
    <row r="20" spans="1:4" ht="94.2" x14ac:dyDescent="0.35">
      <c r="A20" s="3" t="s">
        <v>32</v>
      </c>
      <c r="B20" s="6" t="s">
        <v>35</v>
      </c>
      <c r="C20" s="26" t="s">
        <v>8</v>
      </c>
      <c r="D20" s="21" cm="1">
        <f t="array" ref="D20">_xlfn.SWITCH(C20,"A", 0.25,"B", 0.5, "C", 0.75,"D", 1)</f>
        <v>1</v>
      </c>
    </row>
    <row r="21" spans="1:4" ht="94.2" x14ac:dyDescent="0.35">
      <c r="A21" s="3" t="s">
        <v>32</v>
      </c>
      <c r="B21" s="6" t="s">
        <v>36</v>
      </c>
      <c r="C21" s="26" t="s">
        <v>8</v>
      </c>
      <c r="D21" s="21" cm="1">
        <f t="array" ref="D21">_xlfn.SWITCH(C21,"A", 0.25,"B", 0.5, "C", 0.75,"D", 1)</f>
        <v>1</v>
      </c>
    </row>
    <row r="22" spans="1:4" ht="94.2" x14ac:dyDescent="0.35">
      <c r="A22" s="3" t="s">
        <v>32</v>
      </c>
      <c r="B22" s="6" t="s">
        <v>37</v>
      </c>
      <c r="C22" s="26" t="s">
        <v>8</v>
      </c>
      <c r="D22" s="21" cm="1">
        <f t="array" ref="D22">_xlfn.SWITCH(C22,"A", 0.25,"B", 0.5, "C", 0.75,"D", 1)</f>
        <v>1</v>
      </c>
    </row>
    <row r="23" spans="1:4" ht="94.2" x14ac:dyDescent="0.35">
      <c r="A23" s="3" t="s">
        <v>41</v>
      </c>
      <c r="B23" s="6" t="s">
        <v>38</v>
      </c>
      <c r="C23" s="26" t="s">
        <v>8</v>
      </c>
      <c r="D23" s="21" cm="1">
        <f t="array" ref="D23">_xlfn.SWITCH(C23,"A", 0.25,"B", 0.5, "C", 0.75,"D", 1)</f>
        <v>1</v>
      </c>
    </row>
    <row r="24" spans="1:4" ht="94.2" x14ac:dyDescent="0.35">
      <c r="A24" s="3" t="s">
        <v>41</v>
      </c>
      <c r="B24" s="6" t="s">
        <v>39</v>
      </c>
      <c r="C24" s="26" t="s">
        <v>8</v>
      </c>
      <c r="D24" s="21" cm="1">
        <f t="array" ref="D24">_xlfn.SWITCH(C24,"A", 0.25,"B", 0.5, "C", 0.75,"D", 1)</f>
        <v>1</v>
      </c>
    </row>
    <row r="25" spans="1:4" ht="94.2" x14ac:dyDescent="0.35">
      <c r="A25" s="3" t="s">
        <v>41</v>
      </c>
      <c r="B25" s="6" t="s">
        <v>40</v>
      </c>
      <c r="C25" s="26" t="s">
        <v>8</v>
      </c>
      <c r="D25" s="21" cm="1">
        <f t="array" ref="D25">_xlfn.SWITCH(C25,"A", 0.25,"B", 0.5, "C", 0.75,"D", 1)</f>
        <v>1</v>
      </c>
    </row>
    <row r="26" spans="1:4" ht="94.2" x14ac:dyDescent="0.35">
      <c r="A26" s="3" t="s">
        <v>41</v>
      </c>
      <c r="B26" s="6" t="s">
        <v>42</v>
      </c>
      <c r="C26" s="26" t="s">
        <v>8</v>
      </c>
      <c r="D26" s="21" cm="1">
        <f t="array" ref="D26">_xlfn.SWITCH(C26,"A", 0.25,"B", 0.5, "C", 0.75,"D", 1)</f>
        <v>1</v>
      </c>
    </row>
    <row r="27" spans="1:4" ht="94.2" x14ac:dyDescent="0.35">
      <c r="A27" s="3" t="s">
        <v>43</v>
      </c>
      <c r="B27" s="6" t="s">
        <v>44</v>
      </c>
      <c r="C27" s="26" t="s">
        <v>8</v>
      </c>
      <c r="D27" s="21" cm="1">
        <f t="array" ref="D27">_xlfn.SWITCH(C27,"A", 0.25,"B", 0.5, "C", 0.75,"D", 1)</f>
        <v>1</v>
      </c>
    </row>
    <row r="28" spans="1:4" ht="94.2" x14ac:dyDescent="0.35">
      <c r="A28" s="7" t="s">
        <v>43</v>
      </c>
      <c r="B28" s="6" t="s">
        <v>45</v>
      </c>
      <c r="C28" s="26" t="s">
        <v>8</v>
      </c>
      <c r="D28" s="21" cm="1">
        <f t="array" ref="D28">_xlfn.SWITCH(C28,"A", 0.25,"B", 0.5, "C", 0.75,"D", 1)</f>
        <v>1</v>
      </c>
    </row>
    <row r="29" spans="1:4" ht="94.2" x14ac:dyDescent="0.35">
      <c r="A29" s="7" t="s">
        <v>43</v>
      </c>
      <c r="B29" s="6" t="s">
        <v>46</v>
      </c>
      <c r="C29" s="26" t="s">
        <v>8</v>
      </c>
      <c r="D29" s="21" cm="1">
        <f t="array" ref="D29">_xlfn.SWITCH(C29,"A", 0.25,"B", 0.5, "C", 0.75,"D", 1)</f>
        <v>1</v>
      </c>
    </row>
    <row r="30" spans="1:4" ht="94.2" x14ac:dyDescent="0.35">
      <c r="A30" s="7" t="s">
        <v>43</v>
      </c>
      <c r="B30" s="6" t="s">
        <v>47</v>
      </c>
      <c r="C30" s="26" t="s">
        <v>8</v>
      </c>
      <c r="D30" s="21" cm="1">
        <f t="array" ref="D30">_xlfn.SWITCH(C30,"A", 0.25,"B", 0.5, "C", 0.75,"D", 1)</f>
        <v>1</v>
      </c>
    </row>
    <row r="31" spans="1:4" ht="94.2" x14ac:dyDescent="0.35">
      <c r="A31" s="7" t="s">
        <v>43</v>
      </c>
      <c r="B31" s="6" t="s">
        <v>48</v>
      </c>
      <c r="C31" s="26" t="s">
        <v>8</v>
      </c>
      <c r="D31" s="21" cm="1">
        <f t="array" ref="D31">_xlfn.SWITCH(C31,"A", 0.25,"B", 0.5, "C", 0.75,"D", 1)</f>
        <v>1</v>
      </c>
    </row>
    <row r="32" spans="1:4" ht="94.2" x14ac:dyDescent="0.35">
      <c r="A32" s="7" t="s">
        <v>49</v>
      </c>
      <c r="B32" s="6" t="s">
        <v>50</v>
      </c>
      <c r="C32" s="26" t="s">
        <v>8</v>
      </c>
      <c r="D32" s="21" cm="1">
        <f t="array" ref="D32">_xlfn.SWITCH(C32,"A", 0.25,"B", 0.5, "C", 0.75,"D", 1)</f>
        <v>1</v>
      </c>
    </row>
    <row r="33" spans="1:4" ht="94.2" x14ac:dyDescent="0.35">
      <c r="A33" s="7" t="s">
        <v>49</v>
      </c>
      <c r="B33" s="6" t="s">
        <v>51</v>
      </c>
      <c r="C33" s="26" t="s">
        <v>8</v>
      </c>
      <c r="D33" s="21" cm="1">
        <f t="array" ref="D33">_xlfn.SWITCH(C33,"A", 0.25,"B", 0.5, "C", 0.75,"D", 1)</f>
        <v>1</v>
      </c>
    </row>
    <row r="34" spans="1:4" ht="94.2" x14ac:dyDescent="0.35">
      <c r="A34" s="7" t="s">
        <v>49</v>
      </c>
      <c r="B34" s="6" t="s">
        <v>52</v>
      </c>
      <c r="C34" s="26" t="s">
        <v>8</v>
      </c>
      <c r="D34" s="21" cm="1">
        <f t="array" ref="D34">_xlfn.SWITCH(C34,"A", 0.25,"B", 0.5, "C", 0.75,"D", 1)</f>
        <v>1</v>
      </c>
    </row>
    <row r="35" spans="1:4" ht="94.2" x14ac:dyDescent="0.35">
      <c r="A35" s="7" t="s">
        <v>49</v>
      </c>
      <c r="B35" s="6" t="s">
        <v>53</v>
      </c>
      <c r="C35" s="26" t="s">
        <v>8</v>
      </c>
      <c r="D35" s="21" cm="1">
        <f t="array" ref="D35">_xlfn.SWITCH(C35,"A", 0.25,"B", 0.5, "C", 0.75,"D", 1)</f>
        <v>1</v>
      </c>
    </row>
    <row r="36" spans="1:4" ht="94.2" x14ac:dyDescent="0.35">
      <c r="A36" s="7" t="s">
        <v>49</v>
      </c>
      <c r="B36" s="6" t="s">
        <v>54</v>
      </c>
      <c r="C36" s="26" t="s">
        <v>8</v>
      </c>
      <c r="D36" s="21" cm="1">
        <f t="array" ref="D36">_xlfn.SWITCH(C36,"A", 0.25,"B", 0.5, "C", 0.75,"D", 1)</f>
        <v>1</v>
      </c>
    </row>
    <row r="37" spans="1:4" ht="109.8" x14ac:dyDescent="0.35">
      <c r="A37" s="7" t="s">
        <v>55</v>
      </c>
      <c r="B37" s="6" t="s">
        <v>56</v>
      </c>
      <c r="C37" s="26" t="s">
        <v>8</v>
      </c>
      <c r="D37" s="21" cm="1">
        <f t="array" ref="D37">_xlfn.SWITCH(C37,"A", 0.25,"B", 0.5, "C", 0.75,"D", 1)</f>
        <v>1</v>
      </c>
    </row>
    <row r="38" spans="1:4" ht="109.8" x14ac:dyDescent="0.35">
      <c r="A38" s="7" t="s">
        <v>55</v>
      </c>
      <c r="B38" s="6" t="s">
        <v>57</v>
      </c>
      <c r="C38" s="26" t="s">
        <v>8</v>
      </c>
      <c r="D38" s="21" cm="1">
        <f t="array" ref="D38">_xlfn.SWITCH(C38,"A", 0.25,"B", 0.5, "C", 0.75,"D", 1)</f>
        <v>1</v>
      </c>
    </row>
    <row r="39" spans="1:4" ht="94.2" x14ac:dyDescent="0.35">
      <c r="A39" s="7" t="s">
        <v>55</v>
      </c>
      <c r="B39" s="6" t="s">
        <v>58</v>
      </c>
      <c r="C39" s="26" t="s">
        <v>8</v>
      </c>
      <c r="D39" s="21" cm="1">
        <f t="array" ref="D39">_xlfn.SWITCH(C39,"A", 0.25,"B", 0.5, "C", 0.75,"D", 1)</f>
        <v>1</v>
      </c>
    </row>
    <row r="40" spans="1:4" ht="94.2" x14ac:dyDescent="0.35">
      <c r="A40" s="7" t="s">
        <v>55</v>
      </c>
      <c r="B40" s="6" t="s">
        <v>59</v>
      </c>
      <c r="C40" s="26" t="s">
        <v>8</v>
      </c>
      <c r="D40" s="21" cm="1">
        <f t="array" ref="D40">_xlfn.SWITCH(C40,"A", 0.25,"B", 0.5, "C", 0.75,"D", 1)</f>
        <v>1</v>
      </c>
    </row>
    <row r="41" spans="1:4" ht="94.2" x14ac:dyDescent="0.35">
      <c r="A41" s="7" t="s">
        <v>55</v>
      </c>
      <c r="B41" s="6" t="s">
        <v>60</v>
      </c>
      <c r="C41" s="26" t="s">
        <v>8</v>
      </c>
      <c r="D41" s="21" cm="1">
        <f t="array" ref="D41">_xlfn.SWITCH(C41,"A", 0.25,"B", 0.5, "C", 0.75,"D", 1)</f>
        <v>1</v>
      </c>
    </row>
    <row r="42" spans="1:4" ht="94.2" x14ac:dyDescent="0.35">
      <c r="A42" s="7" t="s">
        <v>61</v>
      </c>
      <c r="B42" s="8" t="s">
        <v>62</v>
      </c>
      <c r="C42" s="26" t="s">
        <v>8</v>
      </c>
      <c r="D42" s="21" cm="1">
        <f t="array" ref="D42">_xlfn.SWITCH(C42,"A", 0.25,"B", 0.5, "C", 0.75,"D", 1)</f>
        <v>1</v>
      </c>
    </row>
    <row r="43" spans="1:4" ht="94.2" x14ac:dyDescent="0.35">
      <c r="A43" s="7" t="s">
        <v>61</v>
      </c>
      <c r="B43" s="8" t="s">
        <v>63</v>
      </c>
      <c r="C43" s="26" t="s">
        <v>8</v>
      </c>
      <c r="D43" s="21" cm="1">
        <f t="array" ref="D43">_xlfn.SWITCH(C43,"A", 0.25,"B", 0.5, "C", 0.75,"D", 1)</f>
        <v>1</v>
      </c>
    </row>
    <row r="44" spans="1:4" ht="94.2" x14ac:dyDescent="0.35">
      <c r="A44" s="7" t="s">
        <v>61</v>
      </c>
      <c r="B44" s="8" t="s">
        <v>64</v>
      </c>
      <c r="C44" s="26" t="s">
        <v>8</v>
      </c>
      <c r="D44" s="21" cm="1">
        <f t="array" ref="D44">_xlfn.SWITCH(C44,"A", 0.25,"B", 0.5, "C", 0.75,"D", 1)</f>
        <v>1</v>
      </c>
    </row>
    <row r="45" spans="1:4" ht="94.2" x14ac:dyDescent="0.35">
      <c r="A45" s="7" t="s">
        <v>61</v>
      </c>
      <c r="B45" s="8" t="s">
        <v>65</v>
      </c>
      <c r="C45" s="26" t="s">
        <v>8</v>
      </c>
      <c r="D45" s="21" cm="1">
        <f t="array" ref="D45">_xlfn.SWITCH(C45,"A", 0.25,"B", 0.5, "C", 0.75,"D", 1)</f>
        <v>1</v>
      </c>
    </row>
    <row r="46" spans="1:4" ht="94.2" x14ac:dyDescent="0.35">
      <c r="A46" s="7" t="s">
        <v>61</v>
      </c>
      <c r="B46" s="8" t="s">
        <v>66</v>
      </c>
      <c r="C46" s="26" t="s">
        <v>8</v>
      </c>
      <c r="D46" s="21" cm="1">
        <f t="array" ref="D46">_xlfn.SWITCH(C46,"A", 0.25,"B", 0.5, "C", 0.75,"D", 1)</f>
        <v>1</v>
      </c>
    </row>
    <row r="47" spans="1:4" ht="94.2" x14ac:dyDescent="0.35">
      <c r="A47" s="3" t="s">
        <v>67</v>
      </c>
      <c r="B47" s="6" t="s">
        <v>68</v>
      </c>
      <c r="C47" s="26" t="s">
        <v>8</v>
      </c>
      <c r="D47" s="21" cm="1">
        <f t="array" ref="D47">_xlfn.SWITCH(C47,"A", 0.25,"B", 0.5, "C", 0.75,"D", 1)</f>
        <v>1</v>
      </c>
    </row>
    <row r="48" spans="1:4" ht="96.6" customHeight="1" x14ac:dyDescent="0.35">
      <c r="A48" s="3" t="s">
        <v>67</v>
      </c>
      <c r="B48" s="6" t="s">
        <v>69</v>
      </c>
      <c r="C48" s="26" t="s">
        <v>8</v>
      </c>
      <c r="D48" s="21" cm="1">
        <f t="array" ref="D48">_xlfn.SWITCH(C48,"A", 0.25,"B", 0.5, "C", 0.75,"D", 1)</f>
        <v>1</v>
      </c>
    </row>
    <row r="49" spans="1:4" ht="94.2" x14ac:dyDescent="0.35">
      <c r="A49" s="3" t="s">
        <v>67</v>
      </c>
      <c r="B49" s="6" t="s">
        <v>70</v>
      </c>
      <c r="C49" s="26" t="s">
        <v>8</v>
      </c>
      <c r="D49" s="21" cm="1">
        <f t="array" ref="D49">_xlfn.SWITCH(C49,"A", 0.25,"B", 0.5, "C", 0.75,"D", 1)</f>
        <v>1</v>
      </c>
    </row>
    <row r="50" spans="1:4" ht="94.2" x14ac:dyDescent="0.35">
      <c r="A50" s="3" t="s">
        <v>67</v>
      </c>
      <c r="B50" s="6" t="s">
        <v>71</v>
      </c>
      <c r="C50" s="26" t="s">
        <v>8</v>
      </c>
      <c r="D50" s="21" cm="1">
        <f t="array" ref="D50">_xlfn.SWITCH(C50,"A", 0.25,"B", 0.5, "C", 0.75,"D", 1)</f>
        <v>1</v>
      </c>
    </row>
    <row r="51" spans="1:4" ht="99.6" customHeight="1" x14ac:dyDescent="0.35">
      <c r="A51" s="3" t="s">
        <v>67</v>
      </c>
      <c r="B51" s="6" t="s">
        <v>72</v>
      </c>
      <c r="C51" s="26" t="s">
        <v>8</v>
      </c>
      <c r="D51" s="21" cm="1">
        <f t="array" ref="D51">_xlfn.SWITCH(C51,"A", 0.25,"B", 0.5, "C", 0.75,"D", 1)</f>
        <v>1</v>
      </c>
    </row>
    <row r="52" spans="1:4" ht="97.2" customHeight="1" x14ac:dyDescent="0.35">
      <c r="A52" s="7" t="s">
        <v>73</v>
      </c>
      <c r="B52" s="6" t="s">
        <v>74</v>
      </c>
      <c r="C52" s="26" t="s">
        <v>8</v>
      </c>
      <c r="D52" s="21" cm="1">
        <f t="array" ref="D52">_xlfn.SWITCH(C52,"A", 0.25,"B", 0.5, "C", 0.75,"D", 1)</f>
        <v>1</v>
      </c>
    </row>
    <row r="53" spans="1:4" ht="109.8" x14ac:dyDescent="0.35">
      <c r="A53" s="7" t="s">
        <v>73</v>
      </c>
      <c r="B53" s="6" t="s">
        <v>75</v>
      </c>
      <c r="C53" s="26" t="s">
        <v>8</v>
      </c>
      <c r="D53" s="21" cm="1">
        <f t="array" ref="D53">_xlfn.SWITCH(C53,"A", 0.25,"B", 0.5, "C", 0.75,"D", 1)</f>
        <v>1</v>
      </c>
    </row>
    <row r="54" spans="1:4" ht="94.2" x14ac:dyDescent="0.35">
      <c r="A54" s="7" t="s">
        <v>73</v>
      </c>
      <c r="B54" s="6" t="s">
        <v>76</v>
      </c>
      <c r="C54" s="26" t="s">
        <v>8</v>
      </c>
      <c r="D54" s="21" cm="1">
        <f t="array" ref="D54">_xlfn.SWITCH(C54,"A", 0.25,"B", 0.5, "C", 0.75,"D", 1)</f>
        <v>1</v>
      </c>
    </row>
    <row r="55" spans="1:4" ht="109.8" x14ac:dyDescent="0.35">
      <c r="A55" s="7" t="s">
        <v>73</v>
      </c>
      <c r="B55" s="6" t="s">
        <v>77</v>
      </c>
      <c r="C55" s="26" t="s">
        <v>7</v>
      </c>
      <c r="D55" s="21" cm="1">
        <f t="array" ref="D55">_xlfn.SWITCH(C55,"A", 0.25,"B", 0.5, "C", 0.75,"D", 1)</f>
        <v>0.25</v>
      </c>
    </row>
    <row r="56" spans="1:4" ht="109.8" x14ac:dyDescent="0.35">
      <c r="A56" s="7" t="s">
        <v>73</v>
      </c>
      <c r="B56" s="6" t="s">
        <v>78</v>
      </c>
      <c r="C56" s="26" t="s">
        <v>8</v>
      </c>
      <c r="D56" s="21" cm="1">
        <f t="array" ref="D56">_xlfn.SWITCH(C56,"A", 0.25,"B", 0.5, "C", 0.75,"D", 1)</f>
        <v>1</v>
      </c>
    </row>
    <row r="57" spans="1:4" ht="94.2" x14ac:dyDescent="0.35">
      <c r="A57" s="7" t="s">
        <v>79</v>
      </c>
      <c r="B57" s="6" t="s">
        <v>80</v>
      </c>
      <c r="C57" s="26" t="s">
        <v>6</v>
      </c>
      <c r="D57" s="21" cm="1">
        <f t="array" ref="D57">_xlfn.SWITCH(C57,"A", 0.25,"B", 0.5, "C", 0.75,"D", 1)</f>
        <v>0.75</v>
      </c>
    </row>
    <row r="58" spans="1:4" ht="94.2" x14ac:dyDescent="0.35">
      <c r="A58" s="7" t="s">
        <v>79</v>
      </c>
      <c r="B58" s="6" t="s">
        <v>81</v>
      </c>
      <c r="C58" s="26" t="s">
        <v>7</v>
      </c>
      <c r="D58" s="21" cm="1">
        <f t="array" ref="D58">_xlfn.SWITCH(C58,"A", 0.25,"B", 0.5, "C", 0.75,"D", 1)</f>
        <v>0.25</v>
      </c>
    </row>
    <row r="59" spans="1:4" ht="94.2" x14ac:dyDescent="0.35">
      <c r="A59" s="7" t="s">
        <v>79</v>
      </c>
      <c r="B59" s="6" t="s">
        <v>82</v>
      </c>
      <c r="C59" s="26" t="s">
        <v>7</v>
      </c>
      <c r="D59" s="21" cm="1">
        <f t="array" ref="D59">_xlfn.SWITCH(C59,"A", 0.25,"B", 0.5, "C", 0.75,"D", 1)</f>
        <v>0.25</v>
      </c>
    </row>
    <row r="60" spans="1:4" ht="94.2" x14ac:dyDescent="0.35">
      <c r="A60" s="7" t="s">
        <v>79</v>
      </c>
      <c r="B60" s="6" t="s">
        <v>83</v>
      </c>
      <c r="C60" s="26" t="s">
        <v>7</v>
      </c>
      <c r="D60" s="21" cm="1">
        <f t="array" ref="D60">_xlfn.SWITCH(C60,"A", 0.25,"B", 0.5, "C", 0.75,"D", 1)</f>
        <v>0.25</v>
      </c>
    </row>
    <row r="61" spans="1:4" ht="94.2" x14ac:dyDescent="0.35">
      <c r="A61" s="7" t="s">
        <v>79</v>
      </c>
      <c r="B61" s="6" t="s">
        <v>84</v>
      </c>
      <c r="C61" s="26" t="s">
        <v>7</v>
      </c>
      <c r="D61" s="21" cm="1">
        <f t="array" ref="D61">_xlfn.SWITCH(C61,"A", 0.25,"B", 0.5, "C", 0.75,"D", 1)</f>
        <v>0.25</v>
      </c>
    </row>
    <row r="62" spans="1:4" ht="94.2" x14ac:dyDescent="0.35">
      <c r="A62" s="7" t="s">
        <v>85</v>
      </c>
      <c r="B62" s="6" t="s">
        <v>86</v>
      </c>
      <c r="C62" s="26" t="s">
        <v>7</v>
      </c>
      <c r="D62" s="21" cm="1">
        <f t="array" ref="D62">_xlfn.SWITCH(C62,"A", 0.25,"B", 0.5, "C", 0.75,"D", 1)</f>
        <v>0.25</v>
      </c>
    </row>
    <row r="63" spans="1:4" ht="94.2" x14ac:dyDescent="0.35">
      <c r="A63" s="7" t="s">
        <v>85</v>
      </c>
      <c r="B63" s="6" t="s">
        <v>87</v>
      </c>
      <c r="C63" s="26" t="s">
        <v>7</v>
      </c>
      <c r="D63" s="21" cm="1">
        <f t="array" ref="D63">_xlfn.SWITCH(C63,"A", 0.25,"B", 0.5, "C", 0.75,"D", 1)</f>
        <v>0.25</v>
      </c>
    </row>
    <row r="64" spans="1:4" ht="94.2" x14ac:dyDescent="0.35">
      <c r="A64" s="7" t="s">
        <v>85</v>
      </c>
      <c r="B64" s="6" t="s">
        <v>88</v>
      </c>
      <c r="C64" s="26" t="s">
        <v>7</v>
      </c>
      <c r="D64" s="21" cm="1">
        <f t="array" ref="D64">_xlfn.SWITCH(C64,"A", 0.25,"B", 0.5, "C", 0.75,"D", 1)</f>
        <v>0.25</v>
      </c>
    </row>
    <row r="65" spans="1:4" ht="94.2" x14ac:dyDescent="0.35">
      <c r="A65" s="7" t="s">
        <v>85</v>
      </c>
      <c r="B65" s="6" t="s">
        <v>89</v>
      </c>
      <c r="C65" s="26" t="s">
        <v>7</v>
      </c>
      <c r="D65" s="21" cm="1">
        <f t="array" ref="D65">_xlfn.SWITCH(C65,"A", 0.25,"B", 0.5, "C", 0.75,"D", 1)</f>
        <v>0.25</v>
      </c>
    </row>
    <row r="66" spans="1:4" ht="94.2" x14ac:dyDescent="0.35">
      <c r="A66" s="7" t="s">
        <v>85</v>
      </c>
      <c r="B66" s="6" t="s">
        <v>90</v>
      </c>
      <c r="C66" s="26" t="s">
        <v>7</v>
      </c>
      <c r="D66" s="21" cm="1">
        <f t="array" ref="D66">_xlfn.SWITCH(C66,"A", 0.25,"B", 0.5, "C", 0.75,"D", 1)</f>
        <v>0.25</v>
      </c>
    </row>
    <row r="67" spans="1:4" ht="94.2" x14ac:dyDescent="0.35">
      <c r="A67" s="7" t="s">
        <v>91</v>
      </c>
      <c r="B67" s="6" t="s">
        <v>92</v>
      </c>
      <c r="C67" s="26" t="s">
        <v>7</v>
      </c>
      <c r="D67" s="21" cm="1">
        <f t="array" ref="D67">_xlfn.SWITCH(C67,"A", 0.25,"B", 0.5, "C", 0.75,"D", 1)</f>
        <v>0.25</v>
      </c>
    </row>
    <row r="68" spans="1:4" ht="94.2" x14ac:dyDescent="0.35">
      <c r="A68" s="7" t="s">
        <v>91</v>
      </c>
      <c r="B68" s="6" t="s">
        <v>93</v>
      </c>
      <c r="C68" s="26" t="s">
        <v>7</v>
      </c>
      <c r="D68" s="21" cm="1">
        <f t="array" ref="D68">_xlfn.SWITCH(C68,"A", 0.25,"B", 0.5, "C", 0.75,"D", 1)</f>
        <v>0.25</v>
      </c>
    </row>
    <row r="69" spans="1:4" ht="94.2" x14ac:dyDescent="0.35">
      <c r="A69" s="7" t="s">
        <v>91</v>
      </c>
      <c r="B69" s="6" t="s">
        <v>94</v>
      </c>
      <c r="C69" s="26" t="s">
        <v>7</v>
      </c>
      <c r="D69" s="21" cm="1">
        <f t="array" ref="D69">_xlfn.SWITCH(C69,"A", 0.25,"B", 0.5, "C", 0.75,"D", 1)</f>
        <v>0.25</v>
      </c>
    </row>
    <row r="70" spans="1:4" ht="94.2" x14ac:dyDescent="0.35">
      <c r="A70" s="7" t="s">
        <v>91</v>
      </c>
      <c r="B70" s="6" t="s">
        <v>95</v>
      </c>
      <c r="C70" s="26" t="s">
        <v>7</v>
      </c>
      <c r="D70" s="21" cm="1">
        <f t="array" ref="D70">_xlfn.SWITCH(C70,"A", 0.25,"B", 0.5, "C", 0.75,"D", 1)</f>
        <v>0.25</v>
      </c>
    </row>
    <row r="71" spans="1:4" ht="94.2" x14ac:dyDescent="0.35">
      <c r="A71" s="7" t="s">
        <v>91</v>
      </c>
      <c r="B71" s="6" t="s">
        <v>96</v>
      </c>
      <c r="C71" s="26" t="s">
        <v>7</v>
      </c>
      <c r="D71" s="21" cm="1">
        <f t="array" ref="D71">_xlfn.SWITCH(C71,"A", 0.25,"B", 0.5, "C", 0.75,"D", 1)</f>
        <v>0.25</v>
      </c>
    </row>
    <row r="72" spans="1:4" ht="94.2" x14ac:dyDescent="0.35">
      <c r="A72" s="7" t="s">
        <v>97</v>
      </c>
      <c r="B72" s="6" t="s">
        <v>98</v>
      </c>
      <c r="C72" s="26" t="s">
        <v>7</v>
      </c>
      <c r="D72" s="21" cm="1">
        <f t="array" ref="D72">_xlfn.SWITCH(C72,"A", 0.25,"B", 0.5, "C", 0.75,"D", 1)</f>
        <v>0.25</v>
      </c>
    </row>
    <row r="73" spans="1:4" ht="94.2" x14ac:dyDescent="0.35">
      <c r="A73" s="7" t="s">
        <v>97</v>
      </c>
      <c r="B73" s="6" t="s">
        <v>99</v>
      </c>
      <c r="C73" s="26" t="s">
        <v>7</v>
      </c>
      <c r="D73" s="21" cm="1">
        <f t="array" ref="D73">_xlfn.SWITCH(C73,"A", 0.25,"B", 0.5, "C", 0.75,"D", 1)</f>
        <v>0.25</v>
      </c>
    </row>
    <row r="74" spans="1:4" ht="94.2" x14ac:dyDescent="0.35">
      <c r="A74" s="7" t="s">
        <v>97</v>
      </c>
      <c r="B74" s="6" t="s">
        <v>100</v>
      </c>
      <c r="C74" s="26" t="s">
        <v>7</v>
      </c>
      <c r="D74" s="21" cm="1">
        <f t="array" ref="D74">_xlfn.SWITCH(C74,"A", 0.25,"B", 0.5, "C", 0.75,"D", 1)</f>
        <v>0.25</v>
      </c>
    </row>
    <row r="75" spans="1:4" ht="94.2" x14ac:dyDescent="0.35">
      <c r="A75" s="7" t="s">
        <v>97</v>
      </c>
      <c r="B75" s="6" t="s">
        <v>101</v>
      </c>
      <c r="C75" s="26" t="s">
        <v>6</v>
      </c>
      <c r="D75" s="21" cm="1">
        <f t="array" ref="D75">_xlfn.SWITCH(C75,"A", 0.25,"B", 0.5, "C", 0.75,"D", 1)</f>
        <v>0.75</v>
      </c>
    </row>
    <row r="76" spans="1:4" ht="94.2" x14ac:dyDescent="0.35">
      <c r="A76" s="7" t="s">
        <v>97</v>
      </c>
      <c r="B76" s="6" t="s">
        <v>102</v>
      </c>
      <c r="C76" s="26" t="s">
        <v>4</v>
      </c>
      <c r="D76" s="21" cm="1">
        <f t="array" ref="D76">_xlfn.SWITCH(C76,"A", 0.25,"B", 0.5, "C", 0.75,"D", 1)</f>
        <v>0.5</v>
      </c>
    </row>
    <row r="78" spans="1:4" ht="15.6" x14ac:dyDescent="0.3">
      <c r="A78" s="25" t="s">
        <v>123</v>
      </c>
    </row>
    <row r="79" spans="1:4" x14ac:dyDescent="0.3">
      <c r="C79" s="2"/>
    </row>
  </sheetData>
  <sheetProtection algorithmName="SHA-512" hashValue="GMgWDi/6+wKmu1QZ5rZKPdtdDCNM7wbWTIbCKl1tjWeTFyXdMeypDpGfFXJVjonE0zZNfFm5GEoQPvde07Io9w==" saltValue="SCSgi04tkLA1F+XXLJ1t9Q==" spinCount="100000" sheet="1" objects="1" scenarios="1"/>
  <dataValidations xWindow="1284" yWindow="779" count="1">
    <dataValidation type="list" allowBlank="1" showInputMessage="1" showErrorMessage="1" promptTitle="Select Organization Response" prompt="Select 1 out of A,B,C,D" sqref="C2:C76" xr:uid="{38769ACA-BE52-4C22-A94E-0EFE0281E8FE}">
      <formula1>"A,B,C,D"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F667-9237-424C-9FAB-1605BDA91A9B}">
  <dimension ref="A1:D42"/>
  <sheetViews>
    <sheetView zoomScale="99" zoomScaleNormal="99" workbookViewId="0">
      <selection activeCell="C21" sqref="C21"/>
    </sheetView>
  </sheetViews>
  <sheetFormatPr defaultRowHeight="14.4" x14ac:dyDescent="0.3"/>
  <cols>
    <col min="1" max="1" width="71.6640625" customWidth="1"/>
    <col min="2" max="2" width="44.6640625" bestFit="1" customWidth="1"/>
    <col min="3" max="3" width="26.33203125" customWidth="1"/>
    <col min="4" max="4" width="23.88671875" customWidth="1"/>
    <col min="5" max="5" width="24.21875" customWidth="1"/>
  </cols>
  <sheetData>
    <row r="1" spans="1:4" ht="43.2" customHeight="1" thickBot="1" x14ac:dyDescent="0.35">
      <c r="A1" s="1" t="s">
        <v>0</v>
      </c>
      <c r="B1" s="11" t="s">
        <v>9</v>
      </c>
      <c r="C1" s="12" t="s">
        <v>10</v>
      </c>
      <c r="D1" s="12" t="s">
        <v>11</v>
      </c>
    </row>
    <row r="2" spans="1:4" ht="18" x14ac:dyDescent="0.35">
      <c r="A2" s="3" t="s">
        <v>13</v>
      </c>
      <c r="B2" s="22">
        <f>AVERAGEIF(User_Responses!$A$2:$A$76, A2, User_Responses!$D$2:$D$76)</f>
        <v>1</v>
      </c>
      <c r="C2" s="14">
        <v>3</v>
      </c>
      <c r="D2" s="23">
        <f>B2*C2</f>
        <v>3</v>
      </c>
    </row>
    <row r="3" spans="1:4" ht="18" x14ac:dyDescent="0.35">
      <c r="A3" s="5" t="s">
        <v>19</v>
      </c>
      <c r="B3" s="22">
        <f>AVERAGEIF(User_Responses!$A$2:$A$76, A3, User_Responses!$D$2:$D$76)</f>
        <v>1</v>
      </c>
      <c r="C3" s="14">
        <v>3</v>
      </c>
      <c r="D3" s="23">
        <f t="shared" ref="D3:D17" si="0">B3*C3</f>
        <v>3</v>
      </c>
    </row>
    <row r="4" spans="1:4" ht="18" x14ac:dyDescent="0.35">
      <c r="A4" s="5" t="s">
        <v>5</v>
      </c>
      <c r="B4" s="22">
        <f>AVERAGEIF(User_Responses!$A$2:$A$76, A4, User_Responses!$D$2:$D$76)</f>
        <v>1</v>
      </c>
      <c r="C4" s="14">
        <v>3</v>
      </c>
      <c r="D4" s="23">
        <f t="shared" si="0"/>
        <v>3</v>
      </c>
    </row>
    <row r="5" spans="1:4" ht="18" x14ac:dyDescent="0.35">
      <c r="A5" s="7" t="s">
        <v>25</v>
      </c>
      <c r="B5" s="22">
        <f>AVERAGEIF(User_Responses!$A$2:$A$76, A5, User_Responses!$D$2:$D$76)</f>
        <v>1</v>
      </c>
      <c r="C5" s="14">
        <v>2</v>
      </c>
      <c r="D5" s="23">
        <f t="shared" si="0"/>
        <v>2</v>
      </c>
    </row>
    <row r="6" spans="1:4" ht="18" x14ac:dyDescent="0.35">
      <c r="A6" s="7" t="s">
        <v>32</v>
      </c>
      <c r="B6" s="22">
        <f>AVERAGEIF(User_Responses!$A$2:$A$76, A6, User_Responses!$D$2:$D$76)</f>
        <v>1</v>
      </c>
      <c r="C6" s="14">
        <v>2</v>
      </c>
      <c r="D6" s="23">
        <f t="shared" si="0"/>
        <v>2</v>
      </c>
    </row>
    <row r="7" spans="1:4" ht="18" x14ac:dyDescent="0.35">
      <c r="A7" s="3" t="s">
        <v>41</v>
      </c>
      <c r="B7" s="22">
        <f>AVERAGEIF(User_Responses!$A$2:$A$76, A7, User_Responses!$D$2:$D$76)</f>
        <v>1</v>
      </c>
      <c r="C7" s="14">
        <v>3</v>
      </c>
      <c r="D7" s="23">
        <f t="shared" si="0"/>
        <v>3</v>
      </c>
    </row>
    <row r="8" spans="1:4" ht="18" x14ac:dyDescent="0.35">
      <c r="A8" s="3" t="s">
        <v>43</v>
      </c>
      <c r="B8" s="22">
        <f>AVERAGEIF(User_Responses!$A$2:$A$76, A8, User_Responses!$D$2:$D$76)</f>
        <v>1</v>
      </c>
      <c r="C8" s="14">
        <v>2</v>
      </c>
      <c r="D8" s="23">
        <f t="shared" si="0"/>
        <v>2</v>
      </c>
    </row>
    <row r="9" spans="1:4" ht="18" x14ac:dyDescent="0.35">
      <c r="A9" s="7" t="s">
        <v>49</v>
      </c>
      <c r="B9" s="22">
        <f>AVERAGEIF(User_Responses!$A$2:$A$76, A9, User_Responses!$D$2:$D$76)</f>
        <v>1</v>
      </c>
      <c r="C9" s="14">
        <v>1</v>
      </c>
      <c r="D9" s="23">
        <f t="shared" si="0"/>
        <v>1</v>
      </c>
    </row>
    <row r="10" spans="1:4" ht="18" x14ac:dyDescent="0.35">
      <c r="A10" s="7" t="s">
        <v>55</v>
      </c>
      <c r="B10" s="22">
        <f>AVERAGEIF(User_Responses!$A$2:$A$76, A10, User_Responses!$D$2:$D$76)</f>
        <v>1</v>
      </c>
      <c r="C10" s="14">
        <v>2</v>
      </c>
      <c r="D10" s="23">
        <f t="shared" si="0"/>
        <v>2</v>
      </c>
    </row>
    <row r="11" spans="1:4" ht="18" x14ac:dyDescent="0.35">
      <c r="A11" s="7" t="s">
        <v>61</v>
      </c>
      <c r="B11" s="22">
        <f>AVERAGEIF(User_Responses!$A$2:$A$76, A11, User_Responses!$D$2:$D$76)</f>
        <v>1</v>
      </c>
      <c r="C11" s="14">
        <v>2</v>
      </c>
      <c r="D11" s="23">
        <f t="shared" si="0"/>
        <v>2</v>
      </c>
    </row>
    <row r="12" spans="1:4" ht="18" x14ac:dyDescent="0.35">
      <c r="A12" s="3" t="s">
        <v>67</v>
      </c>
      <c r="B12" s="22">
        <f>AVERAGEIF(User_Responses!$A$2:$A$76, A12, User_Responses!$D$2:$D$76)</f>
        <v>1</v>
      </c>
      <c r="C12" s="14">
        <v>2</v>
      </c>
      <c r="D12" s="23">
        <f t="shared" si="0"/>
        <v>2</v>
      </c>
    </row>
    <row r="13" spans="1:4" ht="18" x14ac:dyDescent="0.35">
      <c r="A13" s="7" t="s">
        <v>73</v>
      </c>
      <c r="B13" s="22">
        <f>AVERAGEIF(User_Responses!$A$2:$A$76, A13, User_Responses!$D$2:$D$76)</f>
        <v>0.85</v>
      </c>
      <c r="C13" s="14">
        <v>1</v>
      </c>
      <c r="D13" s="23">
        <f t="shared" si="0"/>
        <v>0.85</v>
      </c>
    </row>
    <row r="14" spans="1:4" ht="18" x14ac:dyDescent="0.35">
      <c r="A14" s="7" t="s">
        <v>79</v>
      </c>
      <c r="B14" s="22">
        <f>AVERAGEIF(User_Responses!$A$2:$A$76, A14, User_Responses!$D$2:$D$76)</f>
        <v>0.35</v>
      </c>
      <c r="C14" s="14">
        <v>2</v>
      </c>
      <c r="D14" s="23">
        <f t="shared" si="0"/>
        <v>0.7</v>
      </c>
    </row>
    <row r="15" spans="1:4" ht="18" x14ac:dyDescent="0.35">
      <c r="A15" s="7" t="s">
        <v>85</v>
      </c>
      <c r="B15" s="22">
        <f>AVERAGEIF(User_Responses!$A$2:$A$76, A15, User_Responses!$D$2:$D$76)</f>
        <v>0.25</v>
      </c>
      <c r="C15" s="14">
        <v>3</v>
      </c>
      <c r="D15" s="23">
        <f t="shared" si="0"/>
        <v>0.75</v>
      </c>
    </row>
    <row r="16" spans="1:4" ht="18" x14ac:dyDescent="0.35">
      <c r="A16" s="7" t="s">
        <v>91</v>
      </c>
      <c r="B16" s="22">
        <f>AVERAGEIF(User_Responses!$A$2:$A$76, A16, User_Responses!$D$2:$D$76)</f>
        <v>0.25</v>
      </c>
      <c r="C16" s="14">
        <v>1</v>
      </c>
      <c r="D16" s="23">
        <f t="shared" si="0"/>
        <v>0.25</v>
      </c>
    </row>
    <row r="17" spans="1:4" ht="18" x14ac:dyDescent="0.35">
      <c r="A17" s="7" t="s">
        <v>97</v>
      </c>
      <c r="B17" s="22">
        <f>AVERAGEIF(User_Responses!$A$2:$A$76, A17, User_Responses!$D$2:$D$76)</f>
        <v>0.4</v>
      </c>
      <c r="C17" s="14">
        <v>2</v>
      </c>
      <c r="D17" s="23">
        <f t="shared" si="0"/>
        <v>0.8</v>
      </c>
    </row>
    <row r="19" spans="1:4" ht="18" x14ac:dyDescent="0.35">
      <c r="B19" s="13" t="s">
        <v>103</v>
      </c>
      <c r="C19" s="24">
        <f>SUM(D2:D17)/SUM(C2:C17)</f>
        <v>0.83382352941176474</v>
      </c>
    </row>
    <row r="21" spans="1:4" ht="18" x14ac:dyDescent="0.35">
      <c r="B21" s="13" t="s">
        <v>12</v>
      </c>
      <c r="C21" s="28" t="str">
        <f>IF(C19&lt;=40%, "🟢 Cloud Optimized State", IF(C19&lt;=60%, "🟡 Cloud Resilient State", IF(C19&lt;=80%, "🟠 Elevated Cloud Exposure", "🔴 Critical Cloud Threat Posture")))</f>
        <v>🔴 Critical Cloud Threat Posture</v>
      </c>
    </row>
    <row r="23" spans="1:4" x14ac:dyDescent="0.3">
      <c r="B23" s="15" t="s">
        <v>104</v>
      </c>
      <c r="C23" t="s">
        <v>106</v>
      </c>
      <c r="D23" t="s">
        <v>107</v>
      </c>
    </row>
    <row r="24" spans="1:4" x14ac:dyDescent="0.3">
      <c r="B24" s="16" t="s">
        <v>67</v>
      </c>
      <c r="C24" s="17">
        <v>2</v>
      </c>
      <c r="D24" s="18">
        <v>1.3</v>
      </c>
    </row>
    <row r="25" spans="1:4" x14ac:dyDescent="0.3">
      <c r="B25" s="16" t="s">
        <v>49</v>
      </c>
      <c r="C25" s="17">
        <v>1</v>
      </c>
      <c r="D25" s="18">
        <v>0.45</v>
      </c>
    </row>
    <row r="26" spans="1:4" x14ac:dyDescent="0.3">
      <c r="B26" s="16" t="s">
        <v>19</v>
      </c>
      <c r="C26" s="17">
        <v>3</v>
      </c>
      <c r="D26" s="18">
        <v>1.5</v>
      </c>
    </row>
    <row r="27" spans="1:4" x14ac:dyDescent="0.3">
      <c r="B27" s="16" t="s">
        <v>25</v>
      </c>
      <c r="C27" s="17">
        <v>2</v>
      </c>
      <c r="D27" s="18">
        <v>1.625</v>
      </c>
    </row>
    <row r="28" spans="1:4" x14ac:dyDescent="0.3">
      <c r="B28" s="16" t="s">
        <v>55</v>
      </c>
      <c r="C28" s="17">
        <v>2</v>
      </c>
      <c r="D28" s="18">
        <v>1.2</v>
      </c>
    </row>
    <row r="29" spans="1:4" x14ac:dyDescent="0.3">
      <c r="B29" s="16" t="s">
        <v>79</v>
      </c>
      <c r="C29" s="17">
        <v>2</v>
      </c>
      <c r="D29" s="18">
        <v>1.1000000000000001</v>
      </c>
    </row>
    <row r="30" spans="1:4" x14ac:dyDescent="0.3">
      <c r="B30" s="16" t="s">
        <v>91</v>
      </c>
      <c r="C30" s="17">
        <v>1</v>
      </c>
      <c r="D30" s="18">
        <v>0.8</v>
      </c>
    </row>
    <row r="31" spans="1:4" x14ac:dyDescent="0.3">
      <c r="B31" s="16" t="s">
        <v>32</v>
      </c>
      <c r="C31" s="17">
        <v>2</v>
      </c>
      <c r="D31" s="18">
        <v>1.4166666666666667</v>
      </c>
    </row>
    <row r="32" spans="1:4" x14ac:dyDescent="0.3">
      <c r="B32" s="16" t="s">
        <v>97</v>
      </c>
      <c r="C32" s="17">
        <v>2</v>
      </c>
      <c r="D32" s="18">
        <v>1.2</v>
      </c>
    </row>
    <row r="33" spans="1:4" x14ac:dyDescent="0.3">
      <c r="B33" s="16" t="s">
        <v>13</v>
      </c>
      <c r="C33" s="17">
        <v>3</v>
      </c>
      <c r="D33" s="18">
        <v>2.0999999999999996</v>
      </c>
    </row>
    <row r="34" spans="1:4" x14ac:dyDescent="0.3">
      <c r="B34" s="16" t="s">
        <v>73</v>
      </c>
      <c r="C34" s="17">
        <v>1</v>
      </c>
      <c r="D34" s="18">
        <v>0.55000000000000004</v>
      </c>
    </row>
    <row r="35" spans="1:4" x14ac:dyDescent="0.3">
      <c r="B35" s="16" t="s">
        <v>85</v>
      </c>
      <c r="C35" s="17">
        <v>3</v>
      </c>
      <c r="D35" s="18">
        <v>2.0999999999999996</v>
      </c>
    </row>
    <row r="36" spans="1:4" x14ac:dyDescent="0.3">
      <c r="B36" s="16" t="s">
        <v>5</v>
      </c>
      <c r="C36" s="17">
        <v>3</v>
      </c>
      <c r="D36" s="18">
        <v>1.875</v>
      </c>
    </row>
    <row r="37" spans="1:4" x14ac:dyDescent="0.3">
      <c r="B37" s="16" t="s">
        <v>41</v>
      </c>
      <c r="C37" s="17">
        <v>3</v>
      </c>
      <c r="D37" s="18">
        <v>1.125</v>
      </c>
    </row>
    <row r="38" spans="1:4" x14ac:dyDescent="0.3">
      <c r="B38" s="16" t="s">
        <v>61</v>
      </c>
      <c r="C38" s="17">
        <v>2</v>
      </c>
      <c r="D38" s="18">
        <v>1.6</v>
      </c>
    </row>
    <row r="39" spans="1:4" x14ac:dyDescent="0.3">
      <c r="B39" s="16" t="s">
        <v>43</v>
      </c>
      <c r="C39" s="17">
        <v>2</v>
      </c>
      <c r="D39" s="18">
        <v>1.7</v>
      </c>
    </row>
    <row r="40" spans="1:4" x14ac:dyDescent="0.3">
      <c r="B40" s="16" t="s">
        <v>105</v>
      </c>
      <c r="C40" s="17">
        <v>34</v>
      </c>
      <c r="D40" s="18">
        <v>21.641666666666669</v>
      </c>
    </row>
    <row r="42" spans="1:4" ht="15.6" x14ac:dyDescent="0.3">
      <c r="A42" s="25" t="s">
        <v>123</v>
      </c>
    </row>
  </sheetData>
  <sheetProtection algorithmName="SHA-512" hashValue="R2WI8CEmDpeRewfds2MwGTjYI5AZUbWxc2erI3ppR8Kv0dKdKlWzVrPhd18F0TJWmKT+XzQqbHfbb5ZV+z36vA==" saltValue="WPW/Eqp0LyDLmyGHGNNW2A==" spinCount="100000" sheet="1" objects="1" scenarios="1"/>
  <dataValidations count="1">
    <dataValidation type="list" allowBlank="1" showInputMessage="1" showErrorMessage="1" promptTitle="Select Weight" prompt="Select 1 from (1,2,3,4)" sqref="C2:C17" xr:uid="{C7585D9D-7E7D-4094-AB10-9345EED1BEEF}">
      <formula1>"1,2,3"</formula1>
    </dataValidation>
  </dataValidations>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AB3C-9D76-48CC-B399-D4A50D69AD7B}">
  <dimension ref="A1:C7"/>
  <sheetViews>
    <sheetView tabSelected="1" workbookViewId="0">
      <selection activeCell="A5" sqref="A5"/>
    </sheetView>
  </sheetViews>
  <sheetFormatPr defaultRowHeight="14.4" x14ac:dyDescent="0.3"/>
  <cols>
    <col min="1" max="1" width="91.21875" customWidth="1"/>
    <col min="2" max="2" width="39.44140625" customWidth="1"/>
    <col min="3" max="3" width="54.5546875" customWidth="1"/>
  </cols>
  <sheetData>
    <row r="1" spans="1:3" ht="18.600000000000001" thickBot="1" x14ac:dyDescent="0.4">
      <c r="A1" s="20" t="s">
        <v>108</v>
      </c>
      <c r="B1" s="20" t="s">
        <v>109</v>
      </c>
      <c r="C1" s="20" t="s">
        <v>110</v>
      </c>
    </row>
    <row r="2" spans="1:3" ht="60.6" customHeight="1" x14ac:dyDescent="0.3">
      <c r="A2" s="9" t="s">
        <v>113</v>
      </c>
      <c r="B2" s="19" t="s">
        <v>111</v>
      </c>
      <c r="C2" s="19" t="s">
        <v>112</v>
      </c>
    </row>
    <row r="3" spans="1:3" ht="73.8" customHeight="1" x14ac:dyDescent="0.3">
      <c r="A3" s="9" t="s">
        <v>116</v>
      </c>
      <c r="B3" s="19" t="s">
        <v>114</v>
      </c>
      <c r="C3" s="19" t="s">
        <v>115</v>
      </c>
    </row>
    <row r="4" spans="1:3" ht="60" customHeight="1" x14ac:dyDescent="0.3">
      <c r="A4" s="10" t="s">
        <v>118</v>
      </c>
      <c r="B4" s="19" t="s">
        <v>117</v>
      </c>
      <c r="C4" s="19" t="s">
        <v>119</v>
      </c>
    </row>
    <row r="5" spans="1:3" ht="65.400000000000006" customHeight="1" x14ac:dyDescent="0.3">
      <c r="A5" s="9" t="s">
        <v>122</v>
      </c>
      <c r="B5" s="19" t="s">
        <v>120</v>
      </c>
      <c r="C5" s="19" t="s">
        <v>121</v>
      </c>
    </row>
    <row r="7" spans="1:3" x14ac:dyDescent="0.3">
      <c r="A7" s="27" t="s">
        <v>123</v>
      </c>
    </row>
  </sheetData>
  <sheetProtection algorithmName="SHA-512" hashValue="l9d6383FJymYN7pG9Szg5tvq/SjMuGSN4jbjoJoIN3WMIN8e2CQgJs1r6g6tPGNw1CvuyzQYERH5XAZSRGu6MA==" saltValue="Tq2Qh2eBKwLKIglf5Z0LcA==" spinCount="100000" sheet="1" objects="1" scenarios="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User_Responses</vt:lpstr>
      <vt:lpstr>Results</vt:lpstr>
      <vt:lpstr>Results 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Kulkarni</dc:creator>
  <cp:lastModifiedBy>Amit Kulkarni</cp:lastModifiedBy>
  <dcterms:created xsi:type="dcterms:W3CDTF">2026-06-30T07:59:32Z</dcterms:created>
  <dcterms:modified xsi:type="dcterms:W3CDTF">2026-10-24T17:29:08Z</dcterms:modified>
</cp:coreProperties>
</file>