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defaultThemeVersion="166925"/>
  <mc:AlternateContent xmlns:mc="http://schemas.openxmlformats.org/markup-compatibility/2006">
    <mc:Choice Requires="x15">
      <x15ac:absPath xmlns:x15ac="http://schemas.microsoft.com/office/spreadsheetml/2010/11/ac" url="C:\Amit\eBooks\Interview Quick Rampup\Fractional Architect Consulting &amp; Freelancing\UPWORK &amp; TOPMATE FILES AND PRODUCTS\CLOUD_READINESS_ASSESSMENT\"/>
    </mc:Choice>
  </mc:AlternateContent>
  <xr:revisionPtr revIDLastSave="0" documentId="13_ncr:1_{3F18144B-C78F-48E0-BDF7-D5C5132A2D3C}" xr6:coauthVersionLast="47" xr6:coauthVersionMax="47" xr10:uidLastSave="{00000000-0000-0000-0000-000000000000}"/>
  <bookViews>
    <workbookView xWindow="-108" yWindow="-108" windowWidth="23256" windowHeight="12456" activeTab="1" xr2:uid="{6EA83798-0DD6-40E8-BDD9-53B4FEBFB21D}"/>
  </bookViews>
  <sheets>
    <sheet name="Inputs" sheetId="1" r:id="rId1"/>
    <sheet name="Dashboard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1" l="1" a="1"/>
  <c r="F5" i="1" a="1"/>
  <c r="F8" i="1" a="1"/>
  <c r="F15" i="1" a="1"/>
  <c r="F19" i="1" a="1"/>
  <c r="F22" i="1" a="1"/>
  <c r="F23" i="1" a="1"/>
  <c r="F27" i="1" a="1"/>
  <c r="F30" i="1" a="1"/>
  <c r="F31" i="1" a="1"/>
  <c r="F33" i="1" a="1"/>
  <c r="F40" i="1" a="1"/>
  <c r="F43" i="1" a="1"/>
  <c r="F44" i="1" a="1"/>
  <c r="F45" i="1" a="1"/>
  <c r="F49" i="1" a="1"/>
  <c r="E49" i="1" a="1"/>
  <c r="E48" i="1" a="1"/>
  <c r="E45" i="1" a="1"/>
  <c r="E46" i="1" a="1"/>
  <c r="E47" i="1" a="1"/>
  <c r="E44" i="1" a="1"/>
  <c r="E43" i="1" a="1"/>
  <c r="E42" i="1" a="1"/>
  <c r="E41" i="1" a="1"/>
  <c r="E40" i="1" a="1"/>
  <c r="E39" i="1" a="1"/>
  <c r="E38" i="1" a="1"/>
  <c r="E37" i="1" a="1"/>
  <c r="E36" i="1" a="1"/>
  <c r="E35" i="1" a="1"/>
  <c r="E34" i="1" a="1"/>
  <c r="E33" i="1" a="1"/>
  <c r="E32" i="1" a="1"/>
  <c r="E31" i="1" a="1"/>
  <c r="E30" i="1" a="1"/>
  <c r="E29" i="1" a="1"/>
  <c r="E28" i="1" a="1"/>
  <c r="E27" i="1" a="1"/>
  <c r="E26" i="1" a="1"/>
  <c r="F26" i="1" s="1" a="1"/>
  <c r="E25" i="1" a="1"/>
  <c r="F25" i="1" s="1" a="1"/>
  <c r="E24" i="1" a="1"/>
  <c r="E23" i="1" a="1"/>
  <c r="E22" i="1" a="1"/>
  <c r="E21" i="1" a="1"/>
  <c r="E20" i="1" a="1"/>
  <c r="E19" i="1" a="1"/>
  <c r="E18" i="1" a="1"/>
  <c r="E17" i="1" a="1"/>
  <c r="E10" i="1" a="1"/>
  <c r="F10" i="1" s="1" a="1"/>
  <c r="E11" i="1" a="1"/>
  <c r="F11" i="1" s="1" a="1"/>
  <c r="E12" i="1" a="1"/>
  <c r="E13" i="1" a="1"/>
  <c r="E14" i="1" a="1"/>
  <c r="F14" i="1" s="1" a="1"/>
  <c r="E15" i="1" a="1"/>
  <c r="E16" i="1" a="1"/>
  <c r="F16" i="1" s="1" a="1"/>
  <c r="E4" i="1" a="1"/>
  <c r="E5" i="1" a="1"/>
  <c r="E6" i="1" a="1"/>
  <c r="F6" i="1" s="1" a="1"/>
  <c r="E7" i="1" a="1"/>
  <c r="F7" i="1" s="1" a="1"/>
  <c r="E8" i="1" a="1"/>
  <c r="E9" i="1" a="1"/>
  <c r="F9" i="1" s="1" a="1"/>
  <c r="E2" i="1" a="1"/>
  <c r="F2" i="1" s="1" a="1"/>
  <c r="C9" i="2" l="1" a="1"/>
  <c r="F48" i="1" a="1"/>
  <c r="F47" i="1" a="1"/>
  <c r="F41" i="1" a="1"/>
  <c r="F39" i="1" a="1"/>
  <c r="F38" i="1" a="1"/>
  <c r="F37" i="1" a="1"/>
  <c r="F46" i="1" a="1"/>
  <c r="F42" i="1" a="1"/>
  <c r="F36" i="1" a="1"/>
  <c r="F35" i="1" a="1"/>
  <c r="F34" i="1" a="1"/>
  <c r="F32" i="1" a="1"/>
  <c r="F28" i="1" a="1"/>
  <c r="F29" i="1" a="1"/>
  <c r="F24" i="1" a="1"/>
  <c r="F21" i="1" a="1"/>
  <c r="F20" i="1" a="1"/>
  <c r="F18" i="1" a="1"/>
  <c r="F17" i="1" a="1"/>
  <c r="F12" i="1" a="1"/>
  <c r="F13" i="1" a="1"/>
  <c r="F4" i="1" a="1"/>
  <c r="F3" i="1" a="1"/>
  <c r="B5" i="2"/>
  <c r="B4" i="2"/>
  <c r="B7" i="2"/>
  <c r="B2" i="2"/>
  <c r="B3" i="2"/>
  <c r="B6"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<sst xmlns="http://schemas.openxmlformats.org/spreadsheetml/2006/main" count="259" uniqueCount="121">
  <si>
    <t>Perspective</t>
  </si>
  <si>
    <t>Question</t>
  </si>
  <si>
    <t xml:space="preserve">User Response </t>
  </si>
  <si>
    <t>Numeric Score</t>
  </si>
  <si>
    <t>C</t>
  </si>
  <si>
    <t>A</t>
  </si>
  <si>
    <t>B</t>
  </si>
  <si>
    <t>D</t>
  </si>
  <si>
    <t>Average Score</t>
  </si>
  <si>
    <t>Description</t>
  </si>
  <si>
    <t>CRA Domain Perspective</t>
  </si>
  <si>
    <t>Compute &amp; Operating System Fit:</t>
  </si>
  <si>
    <r>
      <rPr>
        <b/>
        <sz val="10"/>
        <color theme="1"/>
        <rFont val="Aptos"/>
        <family val="2"/>
      </rPr>
      <t xml:space="preserve">(Operating System Support) </t>
    </r>
    <r>
      <rPr>
        <sz val="10"/>
        <color theme="1"/>
        <rFont val="Aptos"/>
        <family val="2"/>
      </rPr>
      <t xml:space="preserve">
</t>
    </r>
  </si>
  <si>
    <t xml:space="preserve">
A) Legacy Proprietary: Running on an obsolete, proprietary Unix variant (e.g., AIX, Solaris, HP-UX) with zero native translation to public cloud instances.
B) Outdated Commercial: Running on an enterprise OS (e.g., Windows Server 2008/2012, RHEL 5/6) that is end-of-life and requires expensive custom support or migration hurdles.
C) Standard Modern: Running on a current, mainstream OS version (e.g., Windows Server 2019/2022, RHEL 8/9, Ubuntu 20/22) fully supported by cloud base images.
D) OS-Agnostic / Containerized: Entirely decoupled from the host OS; package runs natively inside lightweight, platform-independent containers (e.g., Docker/OCI images). </t>
  </si>
  <si>
    <t xml:space="preserve">(OS Version Currency) 
</t>
  </si>
  <si>
    <t>A) Severely Custom / Hardened: The OS has been heavily modified with custom kernel patches or custom configurations that make it impossible to upgrade without breaking the application code.
B) Patch Lagging: Running a standard OS but lagging multiple years behind security patches, requiring a dedicated upgrading phase before migration.
C) N-1 Current: Up to date within one major release cycle; can be clean-imaged directly to the cloud with minimal verification testing.
D) Auto-Immutable: Deployed using automated, immutable base images that are continuously destroyed, rebuilt, and patched via automated pipelines.</t>
  </si>
  <si>
    <r>
      <rPr>
        <b/>
        <sz val="10"/>
        <color theme="1"/>
        <rFont val="Aptos"/>
        <family val="2"/>
      </rPr>
      <t xml:space="preserve">(Kernel &amp; Driver Dependencies) </t>
    </r>
    <r>
      <rPr>
        <sz val="10"/>
        <color theme="1"/>
        <rFont val="Aptos"/>
        <family val="2"/>
      </rPr>
      <t xml:space="preserve">
</t>
    </r>
  </si>
  <si>
    <t>A) Bare-Metal Hardware Ties: Relies on dedicated, physical on-premises hardware components (e.g., physical USB license dongles, custom PCI-e acceleration cards).
B) Custom Kernel Extensions: Requires specialized, proprietary OS kernel modules or hypervisor-specific integration tools to execute basic tasks.
C) Standard User-Space: Operates entirely within standard user-space environments; requires no custom drivers, kernel tweaks, or specialized hardware permissions.
D) Fully Virtualized Core: Built specifically to leverage abstracted virtual resources, adapting fluidly across differing cloud instance hypervisors.</t>
  </si>
  <si>
    <t xml:space="preserve">(Hardware Architecture) 
</t>
  </si>
  <si>
    <t>A) Monolithic Mainframe: Built for legacy mainframe or specialized mid-range architectures (e.g., IBM AS/400, IBM z/OS) with no x86/ARM equivalent.
B) High-Spec Large Scale: Requires massive, specialized single-node on-premises configurations (e.g., 128+ cores, 2TB+ RAM) that are prohibitively expensive or restricted in the cloud.
C) Standard x86: Runs on standard, commodity x86 64-bit multi-core processors easily matched by 99% of cloud instance families.
D) ARM / Micro-Architecture Efficient: Native support for modern, highly efficient ARM-based cloud architectures (e.g., AWS Graviton or Azure Ampere), drastically lowering compute costs</t>
  </si>
  <si>
    <t xml:space="preserve">(Compute Elasticity) 
</t>
  </si>
  <si>
    <t xml:space="preserve">A) Monolithic Continuous: Must run 24/7 at fixed utilization; crashing or scaling down takes hours of manual initialization and synchronization routines.
B) Stateful Inelastic: The workload experiences heavy traffic spikes, but cannot scale dynamically because user session states are bound rigidly to server memory.
C) Auto-Scaling Compatible: Completely decoupled from state; can gracefully spin up or terminate instances in minutes via standard metric-driven autoscaling groups.
D) Event-Driven Serverless: Operates on ephemeral, event-driven compute functions (e.g., AWS Lambda, Azure Functions); scales from zero to thousands of concurrent executions instantly. </t>
  </si>
  <si>
    <r>
      <rPr>
        <b/>
        <sz val="10"/>
        <color theme="1"/>
        <rFont val="Aptos"/>
        <family val="2"/>
      </rPr>
      <t xml:space="preserve">(Virtualization Compatibility) </t>
    </r>
    <r>
      <rPr>
        <sz val="10"/>
        <color theme="1"/>
        <rFont val="Aptos"/>
        <family val="2"/>
      </rPr>
      <t xml:space="preserve"> 
</t>
    </r>
  </si>
  <si>
    <t>A) Bare-Metal Direct: Hardwired directly to physical hardware layers; cannot run inside a hypervisor or standard virtual machine wrapper without catastrophic performance loss.
B) Nested Hypervisor Bound: Locked into complex VMware-specific clustering features (e.g., vMotion, Raw Device Mapping) that limit migration options.
C) Standard VM Ready: Runs cleanly inside any standard virtualization layer; can be exported directly via standard VM migration tools (e.g., OVF templates).
D) Cloud Native Container: Built using micro-footprint container models, completely abstracted away from virtual machine infrastructure dependencies</t>
  </si>
  <si>
    <r>
      <rPr>
        <b/>
        <sz val="10"/>
        <color theme="1"/>
        <rFont val="Aptos"/>
        <family val="2"/>
      </rPr>
      <t xml:space="preserve">(Resource Utilization Density)  </t>
    </r>
    <r>
      <rPr>
        <sz val="10"/>
        <color theme="1"/>
        <rFont val="Aptos"/>
        <family val="2"/>
      </rPr>
      <t xml:space="preserve">
</t>
    </r>
  </si>
  <si>
    <t xml:space="preserve">A) Zombie Workload: Consistently runs at less than 5% CPU/RAM capacity but requires an entire dedicated physical host due to legacy isolation fears.
B) Highly Inefficient Static: Sized for historical peak loads that occur once a year; runs vastly over-provisioned during 95% of standard operating hours.
C) Measured &amp; Sized: Resource profiles are well-documented; can be mapped directly to equivalent, right-sized cloud instances based on actual usage metrics.
D) Dynamic Resource Optimized: Memory and CPU are continuously dynamically allocated and tightly packed across shared cluster nodes using orchestrators like Kubernetes. </t>
  </si>
  <si>
    <r>
      <rPr>
        <b/>
        <sz val="10"/>
        <color theme="1"/>
        <rFont val="Aptos"/>
        <family val="2"/>
      </rPr>
      <t xml:space="preserve">(Local File System Reliance)  </t>
    </r>
    <r>
      <rPr>
        <sz val="10"/>
        <color theme="1"/>
        <rFont val="Aptos"/>
        <family val="2"/>
      </rPr>
      <t xml:space="preserve">
</t>
    </r>
  </si>
  <si>
    <t>A) Persistent Local State: Writes critical application state, transaction logs, and persistent files directly to local, non-shareable root server disks.
B) Local Shared Directory: Relies on local file path mappings but can survive if shifted onto high-availability network shares, though requires manual configuration.
C) Ephemeral Local Storage: Uses local drives purely for temporary caching or transient scratch space; loss of local data does not break app integrity.
D) Cloud-Storage Decoupled: Entirely decoupled from physical disks; reads and writes all persistent data directly to object storage or managed database endpoints.</t>
  </si>
  <si>
    <t>Data &amp; Storage Tier Compatibility :</t>
  </si>
  <si>
    <t>A) Proprietary Flat File: Uses legacy, non-relational database formats (e.g., ISAM, FoxPro, or Microsoft Access files) sitting on a local folder path.
B) Heavy Custom Relational: Relies on a heavily modified commercial database engine (e.g., legacy Oracle or custom SQL Server setups) featuring massive database-layer logic.
C) Standard Managed Relational: Standard SQL structure (PostgreSQL, MySQL, standard MS SQL) cleanly migratable to fully managed cloud database offerings.
D) Distributed Cloud NoSQL/NewSQL: Engineered to utilize massively scalable, globally distributed NoSQL database fabrics (e.g., DynamoDB, CosmosDB) or cloud-native data networks.</t>
  </si>
  <si>
    <r>
      <rPr>
        <b/>
        <sz val="10"/>
        <color theme="1"/>
        <rFont val="Aptos"/>
        <family val="2"/>
      </rPr>
      <t xml:space="preserve">(Database Paradigm)  </t>
    </r>
    <r>
      <rPr>
        <sz val="10"/>
        <color theme="1"/>
        <rFont val="Aptos"/>
        <family val="2"/>
      </rPr>
      <t xml:space="preserve">
</t>
    </r>
  </si>
  <si>
    <r>
      <rPr>
        <b/>
        <sz val="10"/>
        <color theme="1"/>
        <rFont val="Aptos"/>
        <family val="2"/>
      </rPr>
      <t xml:space="preserve">(Database Extensions)  </t>
    </r>
    <r>
      <rPr>
        <sz val="10"/>
        <color theme="1"/>
        <rFont val="Aptos"/>
        <family val="2"/>
      </rPr>
      <t xml:space="preserve">
</t>
    </r>
  </si>
  <si>
    <t>A) Monolithic Stored Procedures: Core business logic is entirely written inside database-layer triggers, custom C-extensions, and thousands of lines of proprietary PL/SQL code.
B) Extension Fragmented: Relies on specialized third-party database plugins or specific collation settings that restrict choices to unmanaged cloud VMs.
C) Clean Standard Schemas: Database utilizes clean, ANSI-compliant SQL schemas; data logic is handled cleanly at the application code layer instead of the database.
D) Polyglot-Ready Data Mesh: Uses micro-databases optimized per function, communicating cleanly via standardized REST/GraphQL endpoints with no direct cross-database links</t>
  </si>
  <si>
    <r>
      <rPr>
        <b/>
        <sz val="10"/>
        <color theme="1"/>
        <rFont val="Aptos"/>
        <family val="2"/>
      </rPr>
      <t xml:space="preserve">(Storage Protocols)  </t>
    </r>
    <r>
      <rPr>
        <sz val="10"/>
        <color theme="1"/>
        <rFont val="Aptos"/>
        <family val="2"/>
      </rPr>
      <t xml:space="preserve">
</t>
    </r>
  </si>
  <si>
    <t>A) Fiber Channel SAN Bound: Requires sub-millisecond physical Fiber Channel SAN attachments with specific hardware block sizes to function without crashing.
B) Legacy NAS Dependent: Requires local network shared file protocols (e.g., SMB v1/v2, NFS v3) with rigid posix-compliance requirements.
C) Cloud Network Storage Ready: Compatible with standard cloud-managed file shares (e.g., AWS EFS, Azure Files) or standard scalable cloud block volumes.
D) Object Native API: Connects directly via standard HTTPS API protocols to cloud object storage systems (e.g., S3/Blob) for all document and data lifecycle needs</t>
  </si>
  <si>
    <r>
      <rPr>
        <b/>
        <sz val="10"/>
        <color theme="1"/>
        <rFont val="Aptos"/>
        <family val="2"/>
      </rPr>
      <t xml:space="preserve">(Data Volume (Size))  </t>
    </r>
    <r>
      <rPr>
        <sz val="10"/>
        <color theme="1"/>
        <rFont val="Aptos"/>
        <family val="2"/>
      </rPr>
      <t xml:space="preserve">
</t>
    </r>
  </si>
  <si>
    <t xml:space="preserve">A) Massive Monolithic PB: Total dataset size exceeds 500 Terabytes to multiple Petabytes, making online network transfer over standard pipes mathematically impossible.
B) Large TB Scale: Dataset is between 10TB and 100TB; can be transferred online but requires dedicated network line throttling and long migration windows.
C) Moderate GB Scale: Dataset is under 1 Terabyte; easily syncs to the cloud over a standard internet or VPN pipe within a few hours.
D) Lightweight Dynamic: Miniscule data storage profile; data structures are highly compact, modularized, and can be initialized anywhere instantly. </t>
  </si>
  <si>
    <t>A) Unpredictable Exponential: Exploding data volumes with zero predictive forecasting, running constant risks of exhausting local storage arrays within weeks.
B) Linear High Velocity: High data intake that requires manual administrative planning to regularly provision new physical storage frames on-premises.
C) Stable / Predictable: Moderate, predictable data growth easily handled by cloud storage auto-expansion thresholds without system downtime.
D) Automated Lifecycle Optimized: Storage volume remains flat because automated background engines continuously archive, compress, or purge data based on programmatic rules.</t>
  </si>
  <si>
    <r>
      <rPr>
        <b/>
        <sz val="10"/>
        <color theme="1"/>
        <rFont val="Aptos"/>
        <family val="2"/>
      </rPr>
      <t>(Data Growth Rate)</t>
    </r>
    <r>
      <rPr>
        <sz val="10"/>
        <color theme="1"/>
        <rFont val="Aptos"/>
        <family val="2"/>
      </rPr>
      <t xml:space="preserve">
</t>
    </r>
  </si>
  <si>
    <r>
      <rPr>
        <b/>
        <sz val="10"/>
        <color theme="1"/>
        <rFont val="Aptos"/>
        <family val="2"/>
      </rPr>
      <t xml:space="preserve">(Database Clustering)  </t>
    </r>
    <r>
      <rPr>
        <sz val="10"/>
        <color theme="1"/>
        <rFont val="Aptos"/>
        <family val="2"/>
      </rPr>
      <t xml:space="preserve">
</t>
    </r>
  </si>
  <si>
    <t>A) Shared-Disk Hardware Clustering: Relies on active/active hardware-level shared disks (e.g., Oracle RAC) that violate standard cloud multi-tenant architectures.
B) High-Latency Incompatible: Uses basic replication, but a network lag of more than 5ms between database nodes causes database desynchronization and corruption.
C) Logical Replicated Ready: Supports standard asynchronous/synchronous logical log replication, allowing seamless setup across cloud availability zones.
D) Cloud Native Distributed Sharded: Features built-in, horizontal auto-sharding and masterless replication across geographic regions with automated conflict resolution</t>
  </si>
  <si>
    <r>
      <rPr>
        <b/>
        <sz val="10"/>
        <color theme="1"/>
        <rFont val="Aptos"/>
        <family val="2"/>
      </rPr>
      <t xml:space="preserve">(File Locking Dependencies)  </t>
    </r>
    <r>
      <rPr>
        <sz val="10"/>
        <color theme="1"/>
        <rFont val="Aptos"/>
        <family val="2"/>
      </rPr>
      <t xml:space="preserve">
</t>
    </r>
  </si>
  <si>
    <t>A) Concurrent Single-File Access: Multiple app server instances write concurrently to the exact same shared physical file, relying on deep OS-level file locking.
B) Sequence Restricted: App requires strict file-read-write ordering checks, which fail if infrastructure components run in parallel across a network.
C) Independent File Isolation: Processes files completely independently; no two components ever access or modify the same file object simultaneously.
D) Append-Only Event Stream: Replaces traditional files with immutable append-only event records (e.g., Kafka streams), completely removing file-locking bottlenecks.</t>
  </si>
  <si>
    <r>
      <rPr>
        <b/>
        <sz val="10"/>
        <color theme="1"/>
        <rFont val="Aptos"/>
        <family val="2"/>
      </rPr>
      <t xml:space="preserve">(Data Archival Requirements)  </t>
    </r>
    <r>
      <rPr>
        <sz val="10"/>
        <color theme="1"/>
        <rFont val="Aptos"/>
        <family val="2"/>
      </rPr>
      <t xml:space="preserve">
</t>
    </r>
  </si>
  <si>
    <t>A) Continuous On-Disk Accumulation: Regulatory data must be kept forever on primary active disks because the legacy code lacks the ability to archive data.
B) Manual Tape Backup: Archiving requires manual data export runs onto physical backup tapes or offline hard drives stored in off-site warehouses.
C) Batch Cold Tiering: Compatible with basic automated scripting that flags old records and transfers them to separate, slower database tables.
D) Automated Zero-Downtime Lifecycle: Automatically shifts archival data down to low-cost archive cold storage tiers via automated cloud bucket policies</t>
  </si>
  <si>
    <t>Networking, Integration &amp; Performance:</t>
  </si>
  <si>
    <r>
      <rPr>
        <b/>
        <sz val="10"/>
        <color theme="1"/>
        <rFont val="Aptos"/>
        <family val="2"/>
      </rPr>
      <t xml:space="preserve">(Network Latency Tolerance)  </t>
    </r>
    <r>
      <rPr>
        <sz val="10"/>
        <color theme="1"/>
        <rFont val="Aptos"/>
        <family val="2"/>
      </rPr>
      <t xml:space="preserve">
</t>
    </r>
  </si>
  <si>
    <t>A) Ultra-Low Real-Time: Requires single-digit millisecond ( &lt; 2ms) round-trip network connectivity to on-premises manufacturing gear, mainframes, or local equipment.
B) Sensitive Transactional: Uptime degrades or throws application timeouts if network ping latency exceeds 20ms back to ground dependencies.
C) Standard Web Tolerant: Built to handle typical web request-response cycles; tolerates standard 50-100ms network round trips gracefully.
D) Asynchronous Event Mesh: Uses entirely asynchronous message queues; performance is completely decoupled from real-time network response times.</t>
  </si>
  <si>
    <r>
      <rPr>
        <b/>
        <sz val="10"/>
        <color theme="1"/>
        <rFont val="Aptos"/>
        <family val="2"/>
      </rPr>
      <t xml:space="preserve">(Inbound Data Traffic (Ingress))  </t>
    </r>
    <r>
      <rPr>
        <sz val="10"/>
        <color theme="1"/>
        <rFont val="Aptos"/>
        <family val="2"/>
      </rPr>
      <t xml:space="preserve">
</t>
    </r>
  </si>
  <si>
    <t>A) Volatile DDOS Vulnerable: Traffic arrives in unannounced, massive unpredictable floods that easily crash local edge firewalls and load balancers.
B) High Batch Bursty: Massive ingest data files arrive at random times, causing huge spikes in system load that temporarily slow down user access.
C) Consistent Steady State: Inbound request curves are smooth and predictable, correlating directly with normal standard business operating hours.
D) Edge Buffered Elastic: Inbound traffic passes through global Content Delivery Networks (CDNs) and edge queues, insulating compute nodes from spikes.</t>
  </si>
  <si>
    <r>
      <rPr>
        <b/>
        <sz val="10"/>
        <color theme="1"/>
        <rFont val="Aptos"/>
        <family val="2"/>
      </rPr>
      <t xml:space="preserve">(Outbound Data Costs (Egress))  </t>
    </r>
    <r>
      <rPr>
        <sz val="10"/>
        <color theme="1"/>
        <rFont val="Aptos"/>
        <family val="2"/>
      </rPr>
      <t xml:space="preserve">
</t>
    </r>
  </si>
  <si>
    <t>A) High-Definition Data Streaming: Continuously pumps terabytes of uncompressed video, raw analytical data, or imagery out to public endpoints daily.
B) Large File Distributions: Regularly serves large software builds, heavy document downloads, or bulk database exports to thousands of clients.
C) Low-Footprint Text/JSON: Outbound payloads are strictly lightweight text, transactional HTML data, or small JSON API server responses.
D) Optimized Intranet Mesh: Most data traffic is contained entirely within internal secure network boundaries, keeping external egress costs near zero.</t>
  </si>
  <si>
    <r>
      <rPr>
        <b/>
        <sz val="10"/>
        <color theme="1"/>
        <rFont val="Aptos"/>
        <family val="2"/>
      </rPr>
      <t xml:space="preserve">(IP Address Hardcoding)  </t>
    </r>
    <r>
      <rPr>
        <sz val="10"/>
        <color theme="1"/>
        <rFont val="Aptos"/>
        <family val="2"/>
      </rPr>
      <t xml:space="preserve">
</t>
    </r>
  </si>
  <si>
    <t xml:space="preserve">A) Hardcoded Code Compilation: On-premises IP addresses are compiled directly into the application source code binary, requiring a full code re-write to alter.
B) Hardcoded Config Files: Configuration text files across dozens of directories feature hardcoded static IPs instead of standardized DNS hostnames.
C) DNS Resolution Standard: All system routing is managed cleanly via corporate internal DNS names (e.g., db.internal.local), making IP swaps easy.
D) Dynamic Service Discovery: Uses modern service registry lookups (e.g., Consul, Kubernetes DNS) to discover and connect to running services dynamically. </t>
  </si>
  <si>
    <r>
      <rPr>
        <b/>
        <sz val="10"/>
        <color theme="1"/>
        <rFont val="Aptos"/>
        <family val="2"/>
      </rPr>
      <t xml:space="preserve">(Load Balancing Methods)  </t>
    </r>
    <r>
      <rPr>
        <sz val="10"/>
        <color theme="1"/>
        <rFont val="Aptos"/>
        <family val="2"/>
      </rPr>
      <t xml:space="preserve">
</t>
    </r>
  </si>
  <si>
    <t>A) Hardware Sticky Session Bound: Relies on physical, proprietary network appliances (e.g., F5 Big-IP) utilizing custom hardware cookie injection tricks.
B) Server-Side Session Replication: Requires complex, high-overhead multicast networking to sync user sessions across a cluster of servers.
C) Stateless Round-Robin: Completely stateless architecture; can accept traffic from any standard cloud HTTP/HTTPS Application Load Balancer.
D) Global Anycast Mesh: Traffic is routed through smart Anycast global networks, balancing load geographically before it even hits application layers</t>
  </si>
  <si>
    <r>
      <rPr>
        <b/>
        <sz val="10"/>
        <color theme="1"/>
        <rFont val="Aptos"/>
        <family val="2"/>
      </rPr>
      <t xml:space="preserve">(Downstream Dependencies)  </t>
    </r>
    <r>
      <rPr>
        <sz val="10"/>
        <color theme="1"/>
        <rFont val="Aptos"/>
        <family val="2"/>
      </rPr>
      <t xml:space="preserve">
</t>
    </r>
  </si>
  <si>
    <t>A) Monolithic Spaghetti Web: Tightly coupled via direct database connections or memory hooks to dozens of other systems; cannot be separated or moved alone.
B) High-Dependency Chain: Relies on 5-10 external on-premises services; moving this workload first requires establishing multiple dedicated VPN/Direct Connect tunnels.
C) Decoupled API Integration: Communicates with downstream systems strictly through standardized, well-defined web APIs (REST/SOAP).
D) Self-Contained Microservice: Zero downstream runtime dependencies; carries all logic required to process its scope independently.</t>
  </si>
  <si>
    <r>
      <rPr>
        <b/>
        <sz val="10"/>
        <color theme="1"/>
        <rFont val="Aptos"/>
        <family val="2"/>
      </rPr>
      <t xml:space="preserve">(Third-Party API Integrations)  </t>
    </r>
    <r>
      <rPr>
        <sz val="10"/>
        <color theme="1"/>
        <rFont val="Aptos"/>
        <family val="2"/>
      </rPr>
      <t xml:space="preserve">
</t>
    </r>
  </si>
  <si>
    <t>A) Legacy Proprietary RPC: Connects to external entities via obsolete, obscure protocols (e.g., Corba, DCOM, custom binary over TCP sockets).
B) IP-Whitelisted Fixed B2B: Uses standard APIs but is bottlenecked by rigid corporate B2B contracts that require weeks of notice to change partner firewall rules.
C) Modern Webhook Ready: Connects to modern platforms via standard secure HTTPS RESTful endpoints with dynamic token authentication.
D) Native Cloud Ecosystem Integrator: Designed to use out-of-the-box marketplace integrations, SaaS bridges, and cloud-native identity providers seamlessly.</t>
  </si>
  <si>
    <r>
      <rPr>
        <b/>
        <sz val="10"/>
        <color theme="1"/>
        <rFont val="Aptos"/>
        <family val="2"/>
      </rPr>
      <t xml:space="preserve">(Protocols &amp; Ports)  </t>
    </r>
    <r>
      <rPr>
        <sz val="10"/>
        <color theme="1"/>
        <rFont val="Aptos"/>
        <family val="2"/>
      </rPr>
      <t xml:space="preserve">
</t>
    </r>
  </si>
  <si>
    <t>A) Chaotic Port Randomization: Dynamically opens random ranges of non-standard TCP/UDP ports to establish sessions, creating a cloud security nightmare.
B) Legacy Non-Web Standard: Relies heavily on obscure, unencrypted legacy protocols (e.g., FTP, Telnet, unencrypted LDAP) for core operations.
C) Standard Web Ports: Operates strictly on globally accepted, clean web channels: Port 80 (HTTP) and Port 443 (HTTPS).
D) gRPC / Multiplexed Streams: Utilizes modern, multiplexed communication standards (HTTP/2, gRPC, WebSockets) to maximize network pipeline throughput</t>
  </si>
  <si>
    <t>Security, Identity &amp; Compliance:</t>
  </si>
  <si>
    <r>
      <rPr>
        <b/>
        <sz val="10"/>
        <color theme="1"/>
        <rFont val="Aptos"/>
        <family val="2"/>
      </rPr>
      <t xml:space="preserve">(Data Sovereignty Constraints)  </t>
    </r>
    <r>
      <rPr>
        <sz val="10"/>
        <color theme="1"/>
        <rFont val="Aptos"/>
        <family val="2"/>
      </rPr>
      <t xml:space="preserve">
</t>
    </r>
  </si>
  <si>
    <t xml:space="preserve">A) Strict Air-Gapped Mandate: National security laws or strict industry rules require the database to remain physically isolated within a specific building or country.
B) Geographically Restricted: Data can move to the cloud but must stay within explicit state or country boundaries, limiting cloud hosting options.
C) Broad Region Compliant: Data can be hosted in any major cloud region as long as standard enterprise security guardrails are active.
D) Globally Agnostic Multi-Region: Architecture is designed from scratch to shard and replicate data seamlessly across multiple global regions while respecting local privacy laws. </t>
  </si>
  <si>
    <r>
      <rPr>
        <b/>
        <sz val="10"/>
        <color theme="1"/>
        <rFont val="Aptos"/>
        <family val="2"/>
      </rPr>
      <t xml:space="preserve">(Regulatory Compliance Scope)  </t>
    </r>
    <r>
      <rPr>
        <sz val="10"/>
        <color theme="1"/>
        <rFont val="Aptos"/>
        <family val="2"/>
      </rPr>
      <t xml:space="preserve">
</t>
    </r>
  </si>
  <si>
    <r>
      <rPr>
        <b/>
        <sz val="10"/>
        <color theme="1"/>
        <rFont val="Aptos"/>
        <family val="2"/>
      </rPr>
      <t xml:space="preserve">(Identity &amp; Authentication)  </t>
    </r>
    <r>
      <rPr>
        <sz val="10"/>
        <color theme="1"/>
        <rFont val="Aptos"/>
        <family val="2"/>
      </rPr>
      <t xml:space="preserve">
</t>
    </r>
  </si>
  <si>
    <t xml:space="preserve">A) Cleartext Local Databases: User credentials and password hashes are saved directly inside local database tables or text files using outdated MD5 encryption.
B) NT LAN Manager (NTLM) Legacy: Relies on old Active Directory authentication methods that cannot cross modern cloud identity-provider boundaries.
C) Modern Federated Identity: Integrates with corporate identity hubs via industry standards like SAML 2.0, OpenID Connect (OIDC), or Azure AD Sync.
D) Passwordless Zero-Trust IAM: Uses context-aware, passwordless authentication linked directly to cloud IAM roles and ephemeral, short-lived security tokens. </t>
  </si>
  <si>
    <r>
      <rPr>
        <b/>
        <sz val="10"/>
        <color theme="1"/>
        <rFont val="Aptos"/>
        <family val="2"/>
      </rPr>
      <t xml:space="preserve">(Secret &amp; Key Management)  </t>
    </r>
    <r>
      <rPr>
        <sz val="10"/>
        <color theme="1"/>
        <rFont val="Aptos"/>
        <family val="2"/>
      </rPr>
      <t xml:space="preserve">
</t>
    </r>
  </si>
  <si>
    <t>A) Hardcoded Code Secrets: Database passwords, encryption keys, and third-party API tokens are written directly into the source code text.
B) Plaintext Config Files: Secrets are removed from the code but stored in unencrypted, plaintext appsettings.properties files sitting on the disk.
C) Standard Environment Variables: Secrets are injected at boot time via standard environment variables, keeping them out of source code repositories.
D) Managed KMS Envelope Security: Integrated with cloud secrets managers (e.g., AWS KMS, HashiCorp Vault); keys are automatically rotated every 30 days without downtime</t>
  </si>
  <si>
    <r>
      <rPr>
        <b/>
        <sz val="10"/>
        <color theme="1"/>
        <rFont val="Aptos"/>
        <family val="2"/>
      </rPr>
      <t xml:space="preserve">(Encryption Capabilities)  </t>
    </r>
    <r>
      <rPr>
        <sz val="10"/>
        <color theme="1"/>
        <rFont val="Aptos"/>
        <family val="2"/>
      </rPr>
      <t xml:space="preserve">
</t>
    </r>
  </si>
  <si>
    <t>A) No Encryption Capabilities: The software breaks, drops connections, or crashes completely if you try to enforce encryption at the disk or database layer.
B) High Performance Cost: Enforcing software encryption requires massive overhead, causing CPU utilization to spike dangerously.
C) Native Standard Cryptography: Easily supports standard AES-256 disk encryption and TLS 1.2/1.3 network transport security configurations natively.
D) Chip-Level Confidential Computing: Supports data protection in-use via specialized hardware-enclave secure memory shielding architectures</t>
  </si>
  <si>
    <r>
      <rPr>
        <b/>
        <sz val="10"/>
        <color theme="1"/>
        <rFont val="Aptos"/>
        <family val="2"/>
      </rPr>
      <t xml:space="preserve">(Security Agent Support)  </t>
    </r>
    <r>
      <rPr>
        <sz val="10"/>
        <color theme="1"/>
        <rFont val="Aptos"/>
        <family val="2"/>
      </rPr>
      <t xml:space="preserve">
</t>
    </r>
  </si>
  <si>
    <t xml:space="preserve">A) Kernel-Blocking Agents: The application crashes if standard antivirus, EDR, or corporate monitoring tools run on the same server OS instance.
B) Heavy Scanning Disruptions: Can support security agents, but weekly system security scans slow the application down so much that users experience outages.
C) Standard Compliance Friendly: Operates cleanly alongside all standard enterprise endpoint protection, configuration monitoring, and malware tools.
D) Agentless Container Guard: Completely modern; relies on agentless cloud security monitoring tools that track threats at the container or network hypervisor layer. </t>
  </si>
  <si>
    <r>
      <rPr>
        <b/>
        <sz val="10"/>
        <color theme="1"/>
        <rFont val="Aptos"/>
        <family val="2"/>
      </rPr>
      <t xml:space="preserve">(Public Endpoint Exposure)  </t>
    </r>
    <r>
      <rPr>
        <sz val="10"/>
        <color theme="1"/>
        <rFont val="Aptos"/>
        <family val="2"/>
      </rPr>
      <t xml:space="preserve">
</t>
    </r>
  </si>
  <si>
    <t xml:space="preserve">A) Exposed Raw Endpoints: Production application services must be exposed directly to the open internet without any firewall protection to allow client connections.
B) Port-Forward Dependent: Relies on manual firewall port forwarding rules, missing advanced protective application routing layers.
C) Protected Ingress Reverse-Proxy: Sits safely behind standard corporate reverse-proxies, application firewalls (WAF), and internal enterprise networks.
D) Zero Public Edge Mesh: Has zero public IP addresses; all traffic is routed through smart, authenticated edge-tunnels and zero-trust identity points. </t>
  </si>
  <si>
    <r>
      <rPr>
        <b/>
        <sz val="10"/>
        <color theme="1"/>
        <rFont val="Aptos"/>
        <family val="2"/>
      </rPr>
      <t xml:space="preserve">(Data Classification Level)  </t>
    </r>
    <r>
      <rPr>
        <sz val="10"/>
        <color theme="1"/>
        <rFont val="Aptos"/>
        <family val="2"/>
      </rPr>
      <t xml:space="preserve">
</t>
    </r>
  </si>
  <si>
    <t xml:space="preserve">A) Highly Secret / IP Core: Holds the core intellectual property of the enterprise, highly confidential financials, or classified government trade secrets.
B) High-Risk Customer PII: Houses massive databases of private customer data (e.g., credit cards, social security numbers, medical histories).
C) Low-Risk Operational Data: Processes standard business-to-business records, operational telemetry, or internal corporate data.
D) Public Domain Content: Contains entirely public-facing data (e.g., product catalogs, open knowledge articles) carrying zero security data breach risks. </t>
  </si>
  <si>
    <t>Software Lifecycle &amp; Maintainability :</t>
  </si>
  <si>
    <r>
      <rPr>
        <b/>
        <sz val="10"/>
        <color theme="1"/>
        <rFont val="Aptos"/>
        <family val="2"/>
      </rPr>
      <t xml:space="preserve">(Source Code Availability)  </t>
    </r>
    <r>
      <rPr>
        <sz val="10"/>
        <color theme="1"/>
        <rFont val="Aptos"/>
        <family val="2"/>
      </rPr>
      <t xml:space="preserve">
</t>
    </r>
  </si>
  <si>
    <t>A) Orphaned Abandonware: The vendor has gone out of business, the original code is lost, and we only possess the compiled binary file running on the server.
B) Closed-Source Proprietary COTS: Third-party commercial off-the-shelf (COTS) software; we cannot change the code and must wait for vendor support tickets to fix bugs.
C) Fully Owned In-House Code: Code is fully owned and actively modified by internal software engineering teams inside corporate Git repositories.
D) Modern Open-Source Modular: Built on highly active, cloud-optimized open-source framework models with thousands of global community maintainers.</t>
  </si>
  <si>
    <r>
      <rPr>
        <b/>
        <sz val="10"/>
        <color theme="1"/>
        <rFont val="Aptos"/>
        <family val="2"/>
      </rPr>
      <t xml:space="preserve">(Software Vendor Licensing)   </t>
    </r>
    <r>
      <rPr>
        <sz val="10"/>
        <color theme="1"/>
        <rFont val="Aptos"/>
        <family val="2"/>
      </rPr>
      <t xml:space="preserve">
</t>
    </r>
  </si>
  <si>
    <t>A) Physical Core Locked: Licensing contracts bind the software to specific physical CPU socket counts or specific on-premises server serial numbers.
B) Cloud-Hostile Auditing: Moving to a cloud provider causes license terms to change, exposing the company to massive financial audit penalties.
C) License Portability Approved: Vendor officially supports "Bring Your Own License" (BYOL) configurations on public cloud infrastructure models.
D) Open-Source / Pay-As-You-Go: Zero license tracking overhead; relies entirely on open-source packages or cloud consumption-based marketplace pricing.</t>
  </si>
  <si>
    <r>
      <rPr>
        <b/>
        <sz val="10"/>
        <color theme="1"/>
        <rFont val="Aptos"/>
        <family val="2"/>
      </rPr>
      <t xml:space="preserve">(Build &amp; Deployment Model)  </t>
    </r>
    <r>
      <rPr>
        <sz val="10"/>
        <color theme="1"/>
        <rFont val="Aptos"/>
        <family val="2"/>
      </rPr>
      <t xml:space="preserve">
</t>
    </r>
  </si>
  <si>
    <t xml:space="preserve">A) Manual Interactive Setup: Installed manually by logging onto the server desktop GUI, dragging files, and clicking configuration wizards.
B) Custom Scripted Clones: Deployed using custom, fragile bash/powershell scripts written by an engineer who has since left the company.
C) Automated CI/CD Pipelines: Built, tested, and deployed to environments completely automatically via standard tools like Jenkins, GitHub Actions, or GitLab.
D) GitOps Declarative Convergence: Continuous delivery engine operates via a GitOps model (e.g., ArgoCD); changes to Git repositories apply to production instantly. </t>
  </si>
  <si>
    <t>A) Extreme Auditing Scrutiny: Highly regulated workspace (e.g., FedRAMP High, military networks) requiring specialized, dedicated isolated physical cloud infrastructure.
B) Standard Mainstream Regulated: Subject to standard commercial regulations (PCI-DSS, HIPAA, GDPR); requires custom compliance controls built onto the environment.
C) Baseline Corporate Audited: Subject only to typical corporate internal audits and standard financial security controls.
D) Inherited Compliance Native: Built directly inside pre-verified, automated cloud compliance environments that instantly guarantee compliance out-of-the-box</t>
  </si>
  <si>
    <r>
      <rPr>
        <b/>
        <sz val="10"/>
        <color theme="1"/>
        <rFont val="Aptos"/>
        <family val="2"/>
      </rPr>
      <t xml:space="preserve">(Framework &amp; Language Currency) </t>
    </r>
    <r>
      <rPr>
        <sz val="10"/>
        <color theme="1"/>
        <rFont val="Aptos"/>
        <family val="2"/>
      </rPr>
      <t xml:space="preserve">
</t>
    </r>
  </si>
  <si>
    <t>A) Dead Architecture Language: Written in an obsolete language framework (e.g., COBOL, VB6, Silverlight) with a shrinking developer hiring pool.
B) Legacy Monolithic Engine: Written in an older but stable framework version (e.g., .NET Framework 3.5, Java 6) that cannot run natively on Linux servers.
C) Modern Multi-Platform Language: Built on modern, cross-platform runtime standards (.NET Core, Java 17+, Python 3, Node.js) that run anywhere.
D) Cloud-Optimized Compilations: Uses compiled languages (e.g., Go, Rust, Quarkus Java) designed specifically for near-instant boot times and ultra-low container memory use.</t>
  </si>
  <si>
    <r>
      <rPr>
        <b/>
        <sz val="10"/>
        <color theme="1"/>
        <rFont val="Aptos"/>
        <family val="2"/>
      </rPr>
      <t xml:space="preserve">(Application Lifecycle State)  </t>
    </r>
    <r>
      <rPr>
        <sz val="10"/>
        <color theme="1"/>
        <rFont val="Aptos"/>
        <family val="2"/>
      </rPr>
      <t xml:space="preserve">
</t>
    </r>
  </si>
  <si>
    <t>A) Sunset Maintenance Only: Scheduled for decommissioning or complete replacement within the next 12 months; receives zero active development.
B) Stable Feature Freeze: System works fine but receives zero updates except for urgent compliance or emergency security patches.
C) Active Continuous Enhancement: Core production system receiving new feature code updates from development teams multiple times per month.
D) Growth Platform Pilot: The flagship strategic initiative for business transformation, designed to scale dynamically to meet upcoming company expansions.</t>
  </si>
  <si>
    <r>
      <rPr>
        <b/>
        <sz val="10"/>
        <color theme="1"/>
        <rFont val="Aptos"/>
        <family val="2"/>
      </rPr>
      <t xml:space="preserve">(State Management)  </t>
    </r>
    <r>
      <rPr>
        <sz val="10"/>
        <color theme="1"/>
        <rFont val="Aptos"/>
        <family val="2"/>
      </rPr>
      <t xml:space="preserve">
</t>
    </r>
  </si>
  <si>
    <t>A) In-Memory Local Session Sticky: User shopping carts, file uploads, and session details are saved directly inside local server RAM; if the server rebooted, all active user work is lost.
B) Shared Local Disk Cache: State is removed from RAM but relies on writing local status tracker files to shared network folders, causing latency dependencies.
C) External Distributed Cache: Completely stateless application layer; offloads all session tracking to fast distributed caching layers like Redis or Memcached.
D) Shared-Nothing Immutable: Pure stateless functional architecture; every single API request carries all context required to process itself from scratch.</t>
  </si>
  <si>
    <r>
      <rPr>
        <b/>
        <sz val="10"/>
        <color theme="1"/>
        <rFont val="Aptos"/>
        <family val="2"/>
      </rPr>
      <t xml:space="preserve">(Logging &amp; Observability)  </t>
    </r>
    <r>
      <rPr>
        <sz val="10"/>
        <color theme="1"/>
        <rFont val="Aptos"/>
        <family val="2"/>
      </rPr>
      <t xml:space="preserve">
</t>
    </r>
  </si>
  <si>
    <t>A) No Log Outputs: Software outputs no error logs; debugging requires recreating system crashes manually or attaching live code debuggers to production.
B) Unformatted Text Files: Writes raw, chaotic multi-line text files directly to a local disk folder, requiring manual text grep searches to find errors.
C) Standard Structured Logging: Outputs standardized structured JSON logs to standard stdout/stderr streams, making text parsing easy.
D) OpenTelemetry Compliant Semantic Mesh: Emits comprehensive OpenTelemetry spans, metrics, and traces directly to unified cloud monitoring platforms</t>
  </si>
  <si>
    <r>
      <rPr>
        <b/>
        <sz val="10"/>
        <color theme="1"/>
        <rFont val="Aptos"/>
        <family val="2"/>
      </rPr>
      <t xml:space="preserve">(Team Operational Skillset)  </t>
    </r>
    <r>
      <rPr>
        <sz val="10"/>
        <color theme="1"/>
        <rFont val="Aptos"/>
        <family val="2"/>
      </rPr>
      <t xml:space="preserve">
</t>
    </r>
  </si>
  <si>
    <t>A) No Cloud Knowledge: The application support team has only managed physical on-premises servers and has never logged into a cloud environment.
B) Theoretical Cloud Aware: Team members have completed general cloud training videos but have never designed, migrated, or supported a live application in production.
C) Certified Practical Engineers: The core team holds active associate-level vendor certifications and builds test systems inside cloud environments regularly.
D) Expert Cloud Center of Excellence: Senior DevOps engineers who live and breathe infrastructure-as-code, continuous automated deployments, and cloud optimization daily.</t>
  </si>
  <si>
    <t>Commercial, Legal &amp; Operational Readiness:</t>
  </si>
  <si>
    <t xml:space="preserve">(Vendor Contract &amp; License Hostility)
</t>
  </si>
  <si>
    <t xml:space="preserve">
A) Hardwired Physical Lock: The software vendor contract strictly forbids running the software on multi-tenant public cloud infrastructure, or demands punitive, cost-prohibitive licensing fees if moved off-premises.
B) Cloud-Hostile Audit Risk: The license allows cloud deployment, but tracking compliance requires complex, manual core-counting, exposing the company to high financial penalty risks during vendor audits.
C) Cloud-Friendly Portability (BYOL): The vendor contract officially supports "Bring Your Own License" (BYOL) to major public cloud providers with clear, transparent conversion rules (e.g., 1 core on-prem = 1 vCPU cloud).
D) Open-Source / Consumption Native: The workload has no commercial software license constraints; it uses open-source software or consumption-based cloud marketplace licensing where costs scale down to zero when turned off.</t>
  </si>
  <si>
    <t xml:space="preserve">(Technical Debt &amp; Documentation Currency)
</t>
  </si>
  <si>
    <t>A) Tribal Knowledge Orphan: The application has zero documentation, the original development team has completely left the company, and the system is managed entirely via "tribal Knowledge" and guesswork.
B) Outdated Static Wiki: Documentation exists on an internal wiki or PDF, but it was written years ago during the initial deployment and does not reflect current patches, configurations, or integrations.
C) Actively Maintained Playbooks: The application architecture, deployment steps, and system dependencies are fully documented and audited quarterly by the active engineering team.
D) Living Code Documentation: The entire infrastructure and configuration setup are documented as code (IaC); system diagrams and runbooks are auto-generated directly from active repositories.</t>
  </si>
  <si>
    <t xml:space="preserve">(Financial Funding Model (CapEx vs. OpEx))
</t>
  </si>
  <si>
    <t>A) Rigid Capital Budgeting: The business unit operates on strict, multi-year fixed Capital Expense (CapEx) hardware budgets and cannot legally or structurally process variable monthly operational Expense (OpEx) utility bills.
B) Inflexible Fixed Allocations: The team can process monthly OpEx bills, but requires fixed, unchanging monthly cost projections; spikes in cloud usage will trigger internal corporate financial violations.
C) Adaptive Budgetary Controls: Business leaders understand variable cloud spend and utilize automated FinOps monitoring alerts to manually adjust corporate budget allocations on a month-to-month basis.
D) Fully Elastic Unit Economics: Funding is directly tied to business value metrics (e.g., cloud spend budget scales dynamically up or down based on the live number of active app users).</t>
  </si>
  <si>
    <t xml:space="preserve">(Business Criticality &amp; Blast Radius)
</t>
  </si>
  <si>
    <t>A) Tier-0 Revenue Engine: A single minute of downtime causes millions of rupees in direct revenue loss, immediate regulatory fines, or severe brand damage (e.g., core core transactional banking systems).
B) Tier-1 Operational Dependent: Internal staff cannot perform daily business operations if this app goes down, but it does not cause immediate direct financial loss or public-facing exposure.
C) Tier-2 Standard Internal: Standard internal business app (e.g., corporate training portal, historical archive reader); can tolerate an outage of several hours or a weekend with minimal friction.
D) Tier-3 Non-Critical Sandbox: Disposible testing environment or non-production playground; can be completely destroyed or offline for days without any impact on the business.</t>
  </si>
  <si>
    <t xml:space="preserve">(Third-Party Vendor SLA &amp; Support Alignment)
</t>
  </si>
  <si>
    <t xml:space="preserve">
A) No Support Contract: The application relies on a legacy product that is completely out of vendor support, leaving the internal team with no escalation path during a critical gration failure.	
B) Ground-Only Support: The software vendor provides standard support, but explicitly refuses to troubleshoot or support the application if it is running inside a public cloud hypervisor.
C) Cloud-Certified Support Tier: The vendor features a dedicated, 24/7 enterprise support contract that officially covers and optimizes troubleshooting for cloud deployments.
D) Fully Managed SaaS Evolution: The software vendor provides a fully managed, turnkey cloud SaaS version of the tool, removing all internal operational upgrade and support overhead.</t>
  </si>
  <si>
    <t xml:space="preserve">(Procurement &amp; Cloud Marketplace Readiness)
</t>
  </si>
  <si>
    <t>A) Legacy Purchase Orders Only: Enterprise procurement can only purchase software through traditional 90-day vendor onboarding pipelines, request-for-proposals (RFPs), and manual paper invoices.
B) Centralized Cloud Account Bottleneck: The organization has a cloud agreement, but buying third-party software licenses through the cloud requires tedious manual approvals from a centralized IT gatekeeper.
C) Cloud Marketplace Enabled: Procurement workflows are integrated with major cloud marketplaces, allowing engineering teams to instantly purchase pre-approved software licenses against existing cloud credits.
D) Fully Automated Self-Service: Procurement is completely decentralized via policy guardrails; pre-budgeted teams can spin up or purchase licensed cloud utilities instantly via automated tags.</t>
  </si>
  <si>
    <t xml:space="preserve">(Data Privacy &amp; Compliance Sign-Off (In-House Legal))
</t>
  </si>
  <si>
    <t>A) Active Legal Block: Internal legal or compliance teams have strictly red-flagged this specific workload, refusing to authorize data transfers to public cloud data centers due to liability fears.
B) Untested Legal Territory: No clear regulatory precedent exists for this workload within the company; moving it to the cloud requires passing a lengthy, multi-month custom manual legal risk review.
C) Pre-Approved Compliance Patterns: Legal teams have signed off on a library of standard cloud architecture security patterns (e.g., localized encryption keys) that this workload naturally fits into.
D) Open/Public Zero-Risk Profile: The application handles entirely public domain data (e.g., marketing brochures, documentation), requiring absolutely zero legal or data privacy restrictions.</t>
  </si>
  <si>
    <t>(Commercial, Legal &amp; Operational Readiness)</t>
  </si>
  <si>
    <t>A) Absentee Ownership: The application has no assigned business product owner; it is treated as a generic, forgotten IT server asset that nobody in the business claims responsibility for.
B) Resistant Stakeholder: The business product owner is actively resistant to the cloud, fearing that a migration will disrupt their users, change layouts, or alter their established software schedules.
C) Engaged Partner: The business owner is highly supportive of the migration, actively attends alignment syncs, and is willing to allocate business testing resources to validate the cloud environment.
D) Strategy Champion: The product owner is actively driving the cloud transition to unlock specific commercial competitive advantages, like accelerated product release cycles or international market scaling.</t>
  </si>
  <si>
    <t>Individual Capability Strategy</t>
  </si>
  <si>
    <t>Master 7-R Strategy Selector</t>
  </si>
  <si>
    <t>T-Shirt Sizing</t>
  </si>
  <si>
    <t>Small</t>
  </si>
  <si>
    <t>Medium</t>
  </si>
  <si>
    <t>Large</t>
  </si>
  <si>
    <t>Result</t>
  </si>
  <si>
    <t>© 2026 Amit Kulkarni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</si>
</sst>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sz val="14"/>
      <color theme="1"/>
      <name val="Calibri"/>
      <family val="2"/>
      <scheme val="minor"/>
    </font>
    <font>
      <sz val="12"/>
      <color theme="1"/>
      <name val="Calibri"/>
      <family val="2"/>
      <scheme val="minor"/>
    </font>
    <font>
      <b/>
      <sz val="16"/>
      <color theme="1"/>
      <name val="Calibri"/>
      <family val="2"/>
      <scheme val="minor"/>
    </font>
    <font>
      <i/>
      <sz val="11"/>
      <color theme="1"/>
      <name val="Calibri"/>
      <family val="2"/>
      <scheme val="minor"/>
    </font>
    <font>
      <i/>
      <sz val="10"/>
      <color theme="1"/>
      <name val="Calibri"/>
      <family val="2"/>
      <scheme val="minor"/>
    </font>
    <font>
      <b/>
      <sz val="10"/>
      <color theme="1"/>
      <name val="Aptos"/>
      <family val="2"/>
    </font>
    <font>
      <sz val="10"/>
      <color theme="1"/>
      <name val="Aptos"/>
      <family val="2"/>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3" fillId="0" borderId="0" xfId="0" applyFont="1" applyAlignment="1">
      <alignment wrapText="1"/>
    </xf>
    <xf numFmtId="0" fontId="3" fillId="0" borderId="0" xfId="0" applyFont="1"/>
    <xf numFmtId="0" fontId="4" fillId="0" borderId="0" xfId="0" applyFont="1" applyAlignment="1">
      <alignment wrapText="1"/>
    </xf>
    <xf numFmtId="0" fontId="5" fillId="0" borderId="0" xfId="0" applyFont="1" applyAlignment="1">
      <alignment wrapText="1"/>
    </xf>
    <xf numFmtId="0" fontId="7" fillId="0" borderId="0" xfId="0" applyFont="1" applyAlignment="1">
      <alignment vertical="top" wrapText="1"/>
    </xf>
    <xf numFmtId="0" fontId="7" fillId="0" borderId="0" xfId="0" applyFont="1" applyAlignment="1">
      <alignment vertical="top"/>
    </xf>
    <xf numFmtId="0" fontId="6" fillId="0" borderId="0" xfId="0" applyFont="1" applyAlignment="1">
      <alignment vertical="top" wrapText="1"/>
    </xf>
    <xf numFmtId="0" fontId="6" fillId="0" borderId="0" xfId="0" applyFont="1" applyAlignment="1">
      <alignment vertical="top"/>
    </xf>
    <xf numFmtId="0" fontId="8" fillId="0" borderId="0" xfId="0" applyFont="1" applyAlignment="1">
      <alignment vertical="top"/>
    </xf>
    <xf numFmtId="0" fontId="8" fillId="0" borderId="0" xfId="0" applyFont="1"/>
    <xf numFmtId="0" fontId="2" fillId="0" borderId="0" xfId="0" applyFont="1" applyAlignment="1" applyProtection="1">
      <alignment wrapText="1"/>
      <protection locked="0"/>
    </xf>
    <xf numFmtId="0" fontId="0" fillId="0" borderId="0" xfId="0" applyAlignment="1" applyProtection="1">
      <alignment wrapText="1"/>
      <protection locked="0"/>
    </xf>
    <xf numFmtId="164" fontId="2" fillId="0" borderId="0" xfId="0" applyNumberFormat="1" applyFont="1" applyAlignment="1" applyProtection="1">
      <alignment wrapText="1"/>
      <protection hidden="1"/>
    </xf>
    <xf numFmtId="0" fontId="0" fillId="0" borderId="0" xfId="0" applyAlignment="1" applyProtection="1">
      <alignment wrapText="1"/>
      <protection hidden="1"/>
    </xf>
    <xf numFmtId="164" fontId="0" fillId="0" borderId="0" xfId="0" applyNumberFormat="1" applyAlignment="1" applyProtection="1">
      <alignment wrapText="1"/>
      <protection hidden="1"/>
    </xf>
    <xf numFmtId="2" fontId="1" fillId="0" borderId="0" xfId="0" applyNumberFormat="1" applyFont="1" applyProtection="1">
      <protection hidden="1"/>
    </xf>
  </cellXfs>
  <cellStyles count="1">
    <cellStyle name="Normal" xfId="0" builtinId="0"/>
  </cellStyles>
  <dxfs count="39">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1" hidden="1"/>
    </dxf>
    <dxf>
      <numFmt numFmtId="164" formatCode="0.0"/>
      <alignment horizontal="general" vertical="bottom" textRotation="0" wrapText="1" indent="0" justifyLastLine="0" shrinkToFit="0" readingOrder="0"/>
      <protection locked="1" hidden="1"/>
    </dxf>
    <dxf>
      <alignment horizontal="general" vertical="bottom" textRotation="0" wrapText="1" indent="0" justifyLastLine="0" shrinkToFit="0" readingOrder="0"/>
      <protection locked="0" hidden="0"/>
    </dxf>
    <dxf>
      <font>
        <color rgb="FF5D6D7E"/>
      </font>
      <fill>
        <patternFill>
          <bgColor rgb="FFEAECEE"/>
        </patternFill>
      </fill>
    </dxf>
    <dxf>
      <font>
        <color rgb="FF78281F"/>
      </font>
      <fill>
        <patternFill>
          <bgColor rgb="FFFADBD8"/>
        </patternFill>
      </fill>
    </dxf>
    <dxf>
      <font>
        <color rgb="FF922B21"/>
      </font>
      <fill>
        <patternFill>
          <bgColor rgb="FFFDEDEC"/>
        </patternFill>
      </fill>
    </dxf>
    <dxf>
      <font>
        <color rgb="FF4A235A"/>
      </font>
      <fill>
        <patternFill>
          <bgColor rgb="FFF5EEF8"/>
        </patternFill>
      </fill>
    </dxf>
    <dxf>
      <font>
        <color rgb="FF7E5109"/>
      </font>
      <fill>
        <patternFill>
          <bgColor rgb="FFFCF3CF"/>
        </patternFill>
      </fill>
    </dxf>
    <dxf>
      <font>
        <color rgb="FF7D6608"/>
      </font>
      <fill>
        <patternFill>
          <bgColor rgb="FFFEF9E7"/>
        </patternFill>
      </fill>
    </dxf>
    <dxf>
      <font>
        <color rgb="FF1B4F72"/>
      </font>
      <fill>
        <patternFill>
          <bgColor rgb="FFEBF5FB"/>
        </patternFill>
      </fill>
    </dxf>
    <dxf>
      <font>
        <color rgb="FF21618C"/>
      </font>
      <fill>
        <patternFill>
          <bgColor rgb="FFEAF2F8"/>
        </patternFill>
      </fill>
    </dxf>
    <dxf>
      <font>
        <color rgb="FF145A32"/>
      </font>
      <fill>
        <patternFill>
          <bgColor rgb="FFD4EFDF"/>
        </patternFill>
      </fill>
    </dxf>
    <dxf>
      <font>
        <color rgb="FF117864"/>
      </font>
      <fill>
        <patternFill>
          <bgColor rgb="FFE8F8F5"/>
        </patternFill>
      </fill>
    </dxf>
    <dxf>
      <font>
        <color rgb="FF196F3D"/>
      </font>
      <fill>
        <patternFill>
          <bgColor rgb="FFEAFAF1"/>
        </patternFill>
      </fill>
    </dxf>
    <dxf>
      <font>
        <color rgb="FF6E2C00"/>
      </font>
      <fill>
        <patternFill>
          <bgColor rgb="FFFEF5E7"/>
        </patternFill>
      </fill>
    </dxf>
    <dxf>
      <font>
        <color rgb="FF4D5656"/>
      </font>
      <fill>
        <patternFill>
          <bgColor rgb="FFF4F6F7"/>
        </patternFill>
      </fill>
    </dxf>
    <dxf>
      <font>
        <color rgb="FF6E2C00"/>
      </font>
      <fill>
        <patternFill>
          <bgColor rgb="FFFBEEE6"/>
        </patternFill>
      </fill>
    </dxf>
    <dxf>
      <font>
        <color rgb="FF7F8C8D"/>
      </font>
      <fill>
        <patternFill>
          <bgColor rgb="FFF2F4F4"/>
        </patternFill>
      </fill>
    </dxf>
    <dxf>
      <font>
        <color rgb="FF5D6D7E"/>
      </font>
      <fill>
        <patternFill>
          <bgColor rgb="FFEAECEE"/>
        </patternFill>
      </fill>
    </dxf>
    <dxf>
      <font>
        <color rgb="FF78281F"/>
      </font>
      <fill>
        <patternFill>
          <bgColor rgb="FFFADBD8"/>
        </patternFill>
      </fill>
    </dxf>
    <dxf>
      <font>
        <color rgb="FF922B21"/>
      </font>
      <fill>
        <patternFill>
          <bgColor rgb="FFFDEDEC"/>
        </patternFill>
      </fill>
    </dxf>
    <dxf>
      <font>
        <color rgb="FF4A235A"/>
      </font>
      <fill>
        <patternFill>
          <bgColor rgb="FFF5EEF8"/>
        </patternFill>
      </fill>
    </dxf>
    <dxf>
      <font>
        <color rgb="FF7E5109"/>
      </font>
      <fill>
        <patternFill>
          <bgColor rgb="FFFCF3CF"/>
        </patternFill>
      </fill>
    </dxf>
    <dxf>
      <font>
        <color rgb="FF7D6608"/>
      </font>
      <fill>
        <patternFill>
          <bgColor rgb="FFFEF9E7"/>
        </patternFill>
      </fill>
    </dxf>
    <dxf>
      <font>
        <color rgb="FF1B4F72"/>
      </font>
      <fill>
        <patternFill>
          <bgColor rgb="FFEBF5FB"/>
        </patternFill>
      </fill>
    </dxf>
    <dxf>
      <font>
        <color rgb="FF21618C"/>
      </font>
      <fill>
        <patternFill>
          <bgColor rgb="FFEAF2F8"/>
        </patternFill>
      </fill>
    </dxf>
    <dxf>
      <font>
        <color rgb="FF145A32"/>
      </font>
      <fill>
        <patternFill>
          <bgColor rgb="FFD4EFDF"/>
        </patternFill>
      </fill>
    </dxf>
    <dxf>
      <font>
        <color rgb="FF117864"/>
      </font>
      <fill>
        <patternFill>
          <bgColor rgb="FFE8F8F5"/>
        </patternFill>
      </fill>
    </dxf>
    <dxf>
      <font>
        <color rgb="FF196F3D"/>
      </font>
      <fill>
        <patternFill>
          <bgColor rgb="FFEAFAF1"/>
        </patternFill>
      </fill>
    </dxf>
    <dxf>
      <font>
        <color rgb="FF6E2C00"/>
      </font>
      <fill>
        <patternFill>
          <bgColor rgb="FFFEF5E7"/>
        </patternFill>
      </fill>
    </dxf>
    <dxf>
      <font>
        <color rgb="FF4D5656"/>
      </font>
      <fill>
        <patternFill>
          <bgColor rgb="FFF4F6F7"/>
        </patternFill>
      </fill>
    </dxf>
    <dxf>
      <font>
        <color rgb="FF6E2C00"/>
      </font>
      <fill>
        <patternFill>
          <bgColor rgb="FFFBEEE6"/>
        </patternFill>
      </fill>
    </dxf>
    <dxf>
      <font>
        <color rgb="FF7F8C8D"/>
      </font>
      <fill>
        <patternFill>
          <bgColor rgb="FFF2F4F4"/>
        </patternFill>
      </fill>
    </dxf>
    <dxf>
      <font>
        <b val="0"/>
        <i/>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4"/>
        <color theme="1"/>
        <name val="Calibri"/>
        <family val="2"/>
        <scheme val="minor"/>
      </font>
    </dxf>
    <dxf>
      <alignment horizontal="general" vertical="bottom" textRotation="0" wrapText="1" indent="0" justifyLastLine="0" shrinkToFit="0" readingOrder="0"/>
    </dxf>
    <dxf>
      <font>
        <b/>
        <i val="0"/>
        <strike val="0"/>
        <condense val="0"/>
        <extend val="0"/>
        <outline val="0"/>
        <shadow val="0"/>
        <u val="none"/>
        <vertAlign val="baseline"/>
        <sz val="16"/>
        <color theme="1"/>
        <name val="Calibri"/>
        <family val="2"/>
        <scheme val="minor"/>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Cloud Readiness Assessment</a:t>
            </a:r>
            <a:r>
              <a:rPr lang="en-IN" baseline="0"/>
              <a:t> </a:t>
            </a:r>
            <a:r>
              <a:rPr lang="en-IN"/>
              <a:t> (CRA) Maturity Profile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radarChart>
        <c:radarStyle val="marker"/>
        <c:varyColors val="0"/>
        <c:ser>
          <c:idx val="0"/>
          <c:order val="0"/>
          <c:spPr>
            <a:ln w="15875" cap="rnd">
              <a:solidFill>
                <a:schemeClr val="accent1"/>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Dashboards!$A$2:$A$7</c:f>
              <c:strCache>
                <c:ptCount val="6"/>
                <c:pt idx="0">
                  <c:v>Compute &amp; Operating System Fit:</c:v>
                </c:pt>
                <c:pt idx="1">
                  <c:v>Data &amp; Storage Tier Compatibility :</c:v>
                </c:pt>
                <c:pt idx="2">
                  <c:v>Networking, Integration &amp; Performance:</c:v>
                </c:pt>
                <c:pt idx="3">
                  <c:v>Security, Identity &amp; Compliance:</c:v>
                </c:pt>
                <c:pt idx="4">
                  <c:v>Software Lifecycle &amp; Maintainability :</c:v>
                </c:pt>
                <c:pt idx="5">
                  <c:v>Commercial, Legal &amp; Operational Readiness:</c:v>
                </c:pt>
              </c:strCache>
            </c:strRef>
          </c:cat>
          <c:val>
            <c:numRef>
              <c:f>Dashboards!$B$2:$B$7</c:f>
              <c:numCache>
                <c:formatCode>0.00</c:formatCode>
                <c:ptCount val="6"/>
                <c:pt idx="0">
                  <c:v>4</c:v>
                </c:pt>
                <c:pt idx="1">
                  <c:v>4</c:v>
                </c:pt>
                <c:pt idx="2">
                  <c:v>4</c:v>
                </c:pt>
                <c:pt idx="3">
                  <c:v>2.75</c:v>
                </c:pt>
                <c:pt idx="4">
                  <c:v>3.125</c:v>
                </c:pt>
                <c:pt idx="5">
                  <c:v>2</c:v>
                </c:pt>
              </c:numCache>
            </c:numRef>
          </c:val>
          <c:extLst>
            <c:ext xmlns:c15="http://schemas.microsoft.com/office/drawing/2012/chart" uri="{02D57815-91ED-43cb-92C2-25804820EDAC}">
              <c15:filteredSeriesTitle>
                <c15:tx>
                  <c:strRef>
                    <c:extLst>
                      <c:ext uri="{02D57815-91ED-43cb-92C2-25804820EDAC}">
                        <c15:formulaRef>
                          <c15:sqref>Dashboards!#REF!</c15:sqref>
                        </c15:formulaRef>
                      </c:ext>
                    </c:extLst>
                    <c:strCache>
                      <c:ptCount val="1"/>
                      <c:pt idx="0">
                        <c:v>#REF!</c:v>
                      </c:pt>
                    </c:strCache>
                  </c:strRef>
                </c15:tx>
              </c15:filteredSeriesTitle>
            </c:ext>
            <c:ext xmlns:c16="http://schemas.microsoft.com/office/drawing/2014/chart" uri="{C3380CC4-5D6E-409C-BE32-E72D297353CC}">
              <c16:uniqueId val="{00000000-6D0C-43D6-9EBB-7A6A2C16601C}"/>
            </c:ext>
          </c:extLst>
        </c:ser>
        <c:dLbls>
          <c:showLegendKey val="0"/>
          <c:showVal val="1"/>
          <c:showCatName val="0"/>
          <c:showSerName val="0"/>
          <c:showPercent val="0"/>
          <c:showBubbleSize val="0"/>
        </c:dLbls>
        <c:axId val="1720558831"/>
        <c:axId val="1720560271"/>
      </c:radarChart>
      <c:catAx>
        <c:axId val="172055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20560271"/>
        <c:crosses val="autoZero"/>
        <c:auto val="1"/>
        <c:lblAlgn val="ctr"/>
        <c:lblOffset val="100"/>
        <c:noMultiLvlLbl val="0"/>
      </c:catAx>
      <c:valAx>
        <c:axId val="1720560271"/>
        <c:scaling>
          <c:orientation val="minMax"/>
          <c:max val="4"/>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205588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15240</xdr:colOff>
      <xdr:row>9</xdr:row>
      <xdr:rowOff>3810</xdr:rowOff>
    </xdr:from>
    <xdr:to>
      <xdr:col>1</xdr:col>
      <xdr:colOff>464820</xdr:colOff>
      <xdr:row>24</xdr:row>
      <xdr:rowOff>140970</xdr:rowOff>
    </xdr:to>
    <xdr:graphicFrame macro="">
      <xdr:nvGraphicFramePr>
        <xdr:cNvPr id="3" name="Chart 2">
          <a:extLst>
            <a:ext uri="{FF2B5EF4-FFF2-40B4-BE49-F238E27FC236}">
              <a16:creationId xmlns:a16="http://schemas.microsoft.com/office/drawing/2014/main" id="{1BDC956C-8390-0745-B13F-49409AF5C2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09D0DF-8594-405B-BCB2-104AB79EA042}" name="Table1" displayName="Table1" ref="A1:G49" totalsRowShown="0" headerRowDxfId="38" dataDxfId="37">
  <autoFilter ref="A1:G49" xr:uid="{2309D0DF-8594-405B-BCB2-104AB79EA042}"/>
  <tableColumns count="7">
    <tableColumn id="1" xr3:uid="{F945049B-64A4-4551-A316-D230978FC3B4}" name="Perspective" dataDxfId="36"/>
    <tableColumn id="2" xr3:uid="{BF1EA979-E2A6-47BF-A72B-11727105CF50}" name="Description" dataDxfId="35"/>
    <tableColumn id="3" xr3:uid="{DA966BB2-80B6-4483-8B36-F7971E6C36BE}" name="Question" dataDxfId="34"/>
    <tableColumn id="4" xr3:uid="{1238EB9F-FF0F-4600-849A-01A80173F12E}" name="User Response " dataDxfId="3"/>
    <tableColumn id="5" xr3:uid="{15B7F211-0F08-4363-97F1-77C49E8EAFE4}" name="Numeric Score" dataDxfId="2">
      <calculatedColumnFormula array="1">_xlfn.IFS(D2="A", 1, D2="B", 2, D2="C", 3, D2="D", 4, TRUE, 0)</calculatedColumnFormula>
    </tableColumn>
    <tableColumn id="6" xr3:uid="{828B735E-9B29-4C93-83F9-DAEA4EAD33B2}" name="Individual Capability Strategy" dataDxfId="1">
      <calculatedColumnFormula array="1">_xlfn.IFS(
    E2=1, _xlfn.IFS(
        A2="Security, Identity &amp; Compliance", "RETAIN (Critical Legal/Sovereignty Roadblock)",
        A2="Compute &amp; Operating System Fit", "RETIRE / SCRAP (Obsolete Hardware/OS Profile)",
        TRUE, "RETAIN (Fatal System/Dependency Blocker)"
    ),
    E2=2, _xlfn.IFS(
        A2="Software Lifecycle &amp; Maintainability", "REFACTOR (Deep Code Rewrite Required)",
        A2="Compute &amp; Operating System Fit", "RELOCATE (Lift-to-Cloud VMware/Hypervisor Cluster)",
        TRUE, "REFACTOR / RE-ARCHITECT (High Migration Debt)"
    ),
    E2=3, _xlfn.IFS(
        A2="Data &amp; Storage Tier Compatibility", "REPLATFORM (Swap to Managed Cloud DB / Object Store)",
        A2="Networking, Integration &amp; Performance", "REPLATFORM (Swap to Cloud ALB / CloudFront CDN)",
        TRUE, "REPLATFORM / LIFT-AND-SHAPE"
    ),
    E2=4, _xlfn.IFS(
        A2="Software Lifecycle &amp; Maintainability", "REPURCHASE (Replace with Turnkey SaaS Product)",
        TRUE, "REHOST (LIFT &amp; SHIFT) (Direct VM Migration Ready)"
    ),
    TRUE, ""
)</calculatedColumnFormula>
    </tableColumn>
    <tableColumn id="7" xr3:uid="{808532A8-6EC5-47EF-9982-F12555A06F75}" name="T-Shirt Sizing" dataDxfId="0"/>
  </tableColumns>
  <tableStyleInfo name="TableStyleDark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E33480-2ABB-4EFE-9DAE-B9941764F95F}" name="Table2" displayName="Table2" ref="A1:C25" totalsRowShown="0">
  <autoFilter ref="A1:C25" xr:uid="{2BE33480-2ABB-4EFE-9DAE-B9941764F95F}"/>
  <tableColumns count="3">
    <tableColumn id="1" xr3:uid="{FC156653-2257-4E65-808C-C5A6926243FA}" name="CRA Domain Perspective"/>
    <tableColumn id="2" xr3:uid="{FEF11FB8-D862-4BF3-998F-2AE91CEB8B9F}" name="Average Score"/>
    <tableColumn id="5" xr3:uid="{ACAD9ED7-01FB-43B3-9EF8-50796E902A2C}" name="Result"/>
  </tableColumns>
  <tableStyleInfo name="TableStyleMedium2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9400-9703-47CB-B8CE-529ECA51E39F}">
  <sheetPr codeName="Sheet1"/>
  <dimension ref="A1:H55"/>
  <sheetViews>
    <sheetView topLeftCell="C25" zoomScaleNormal="100" workbookViewId="0">
      <selection activeCell="D27" sqref="D27"/>
    </sheetView>
  </sheetViews>
  <sheetFormatPr defaultRowHeight="14.4" x14ac:dyDescent="0.3"/>
  <cols>
    <col min="1" max="1" width="50.33203125" customWidth="1"/>
    <col min="2" max="2" width="42" customWidth="1"/>
    <col min="3" max="3" width="143.5546875" customWidth="1"/>
    <col min="4" max="4" width="22.109375" customWidth="1"/>
    <col min="5" max="5" width="21.21875" customWidth="1"/>
    <col min="6" max="6" width="42.33203125" customWidth="1"/>
    <col min="7" max="7" width="27.77734375" customWidth="1"/>
  </cols>
  <sheetData>
    <row r="1" spans="1:8" ht="24" customHeight="1" x14ac:dyDescent="0.4">
      <c r="A1" s="4" t="s">
        <v>0</v>
      </c>
      <c r="B1" s="4" t="s">
        <v>9</v>
      </c>
      <c r="C1" s="4" t="s">
        <v>1</v>
      </c>
      <c r="D1" s="4" t="s">
        <v>2</v>
      </c>
      <c r="E1" s="4" t="s">
        <v>3</v>
      </c>
      <c r="F1" s="4" t="s">
        <v>113</v>
      </c>
      <c r="G1" s="4" t="s">
        <v>115</v>
      </c>
      <c r="H1" s="1"/>
    </row>
    <row r="2" spans="1:8" ht="74.400000000000006" customHeight="1" x14ac:dyDescent="0.35">
      <c r="A2" s="3" t="s">
        <v>11</v>
      </c>
      <c r="B2" s="8" t="s">
        <v>12</v>
      </c>
      <c r="C2" s="7" t="s">
        <v>13</v>
      </c>
      <c r="D2" s="14" t="s">
        <v>7</v>
      </c>
      <c r="E2" s="16" cm="1">
        <f t="array" ref="E2">_xlfn.IFS(D2="A", 1, D2="B", 2, D2="C", 3, D2="D", 4, TRUE, 0)</f>
        <v>4</v>
      </c>
      <c r="F2" s="17" t="str" cm="1">
        <f t="array" ref="F2">_xlfn.IFS(
    E2=1, _xlfn.IFS(
        A2="Security, Identity &amp; Compliance", "RETAIN (Critical Legal/Sovereignty Roadblock)",
        A2="Compute &amp; Operating System Fit", "RETIRE / SCRAP (Obsolete Hardware/OS Profile)",
        TRUE, "RETAIN (Fatal System/Dependency Blocker)"
    ),
    E2=2, _xlfn.IFS(
        A2="Software Lifecycle &amp; Maintainability", "REFACTOR (Deep Code Rewrite Required)",
        A2="Compute &amp; Operating System Fit", "RELOCATE (Lift-to-Cloud VMware/Hypervisor Cluster)",
        TRUE, "REFACTOR / RE-ARCHITECT (High Migration Debt)"
    ),
    E2=3, _xlfn.IFS(
        A2="Data &amp; Storage Tier Compatibility", "REPLATFORM (Swap to Managed Cloud DB / Object Store)",
        A2="Networking, Integration &amp; Performance", "REPLATFORM (Swap to Cloud ALB / CloudFront CDN)",
        TRUE, "REPLATFORM / LIFT-AND-SHAPE"
    ),
    E2=4, _xlfn.IFS(
        A2="Software Lifecycle &amp; Maintainability", "REPURCHASE (Replace with Turnkey SaaS Product)",
        TRUE, "REHOST (LIFT &amp; SHIFT) (Direct VM Migration Ready)"
    ),
    TRUE, ""
)</f>
        <v>REHOST (LIFT &amp; SHIFT) (Direct VM Migration Ready)</v>
      </c>
      <c r="G2" s="15" t="s">
        <v>116</v>
      </c>
      <c r="H2" s="1"/>
    </row>
    <row r="3" spans="1:8" ht="87" customHeight="1" x14ac:dyDescent="0.35">
      <c r="A3" s="3" t="s">
        <v>11</v>
      </c>
      <c r="B3" s="10" t="s">
        <v>14</v>
      </c>
      <c r="C3" s="7" t="s">
        <v>15</v>
      </c>
      <c r="D3" s="14" t="s">
        <v>7</v>
      </c>
      <c r="E3" s="16" cm="1">
        <f t="array" ref="E3">_xlfn.IFS(D3="A", 1, D3="B", 2, D3="C", 3, D3="D", 4, TRUE, 0)</f>
        <v>4</v>
      </c>
      <c r="F3" s="17" t="str" cm="1">
        <f t="array" ref="F3">_xlfn.IFS(
    E3=1, _xlfn.IFS(
        A3="Security, Identity &amp; Compliance", "RETAIN (Critical Legal/Sovereignty Roadblock)",
        A3="Compute &amp; Operating System Fit", "RETIRE / SCRAP (Obsolete Hardware/OS Profile)",
        TRUE, "RETAIN (Fatal System/Dependency Blocker)"
    ),
    E3=2, _xlfn.IFS(
        A3="Software Lifecycle &amp; Maintainability", "REFACTOR (Deep Code Rewrite Required)",
        A3="Compute &amp; Operating System Fit", "RELOCATE (Lift-to-Cloud VMware/Hypervisor Cluster)",
        TRUE, "REFACTOR / RE-ARCHITECT (High Migration Debt)"
    ),
    E3=3, _xlfn.IFS(
        A3="Data &amp; Storage Tier Compatibility", "REPLATFORM (Swap to Managed Cloud DB / Object Store)",
        A3="Networking, Integration &amp; Performance", "REPLATFORM (Swap to Cloud ALB / CloudFront CDN)",
        TRUE, "REPLATFORM / LIFT-AND-SHAPE"
    ),
    E3=4, _xlfn.IFS(
        A3="Software Lifecycle &amp; Maintainability", "REPURCHASE (Replace with Turnkey SaaS Product)",
        TRUE, "REHOST (LIFT &amp; SHIFT) (Direct VM Migration Ready)"
    ),
    TRUE, ""
)</f>
        <v>REHOST (LIFT &amp; SHIFT) (Direct VM Migration Ready)</v>
      </c>
      <c r="G3" s="15" t="s">
        <v>117</v>
      </c>
      <c r="H3" s="1"/>
    </row>
    <row r="4" spans="1:8" ht="63.6" customHeight="1" x14ac:dyDescent="0.35">
      <c r="A4" s="3" t="s">
        <v>11</v>
      </c>
      <c r="B4" s="8" t="s">
        <v>16</v>
      </c>
      <c r="C4" s="7" t="s">
        <v>17</v>
      </c>
      <c r="D4" s="14" t="s">
        <v>7</v>
      </c>
      <c r="E4" s="16" cm="1">
        <f t="array" ref="E4">_xlfn.IFS(D4="A", 1, D4="B", 2, D4="C", 3, D4="D", 4, TRUE, 0)</f>
        <v>4</v>
      </c>
      <c r="F4" s="17" t="str" cm="1">
        <f t="array" ref="F4">_xlfn.IFS(
    E4=1, _xlfn.IFS(
        A4="Security, Identity &amp; Compliance", "RETAIN (Critical Legal/Sovereignty Roadblock)",
        A4="Compute &amp; Operating System Fit", "RETIRE / SCRAP (Obsolete Hardware/OS Profile)",
        TRUE, "RETAIN (Fatal System/Dependency Blocker)"
    ),
    E4=2, _xlfn.IFS(
        A4="Software Lifecycle &amp; Maintainability", "REFACTOR (Deep Code Rewrite Required)",
        A4="Compute &amp; Operating System Fit", "RELOCATE (Lift-to-Cloud VMware/Hypervisor Cluster)",
        TRUE, "REFACTOR / RE-ARCHITECT (High Migration Debt)"
    ),
    E4=3, _xlfn.IFS(
        A4="Data &amp; Storage Tier Compatibility", "REPLATFORM (Swap to Managed Cloud DB / Object Store)",
        A4="Networking, Integration &amp; Performance", "REPLATFORM (Swap to Cloud ALB / CloudFront CDN)",
        TRUE, "REPLATFORM / LIFT-AND-SHAPE"
    ),
    E4=4, _xlfn.IFS(
        A4="Software Lifecycle &amp; Maintainability", "REPURCHASE (Replace with Turnkey SaaS Product)",
        TRUE, "REHOST (LIFT &amp; SHIFT) (Direct VM Migration Ready)"
    ),
    TRUE, ""
)</f>
        <v>REHOST (LIFT &amp; SHIFT) (Direct VM Migration Ready)</v>
      </c>
      <c r="G4" s="15" t="s">
        <v>116</v>
      </c>
      <c r="H4" s="1"/>
    </row>
    <row r="5" spans="1:8" ht="97.2" customHeight="1" x14ac:dyDescent="0.35">
      <c r="A5" s="3" t="s">
        <v>11</v>
      </c>
      <c r="B5" s="10" t="s">
        <v>18</v>
      </c>
      <c r="C5" s="7" t="s">
        <v>19</v>
      </c>
      <c r="D5" s="14" t="s">
        <v>7</v>
      </c>
      <c r="E5" s="16" cm="1">
        <f t="array" ref="E5">_xlfn.IFS(D5="A", 1, D5="B", 2, D5="C", 3, D5="D", 4, TRUE, 0)</f>
        <v>4</v>
      </c>
      <c r="F5" s="17" t="str" cm="1">
        <f t="array" ref="F5">_xlfn.IFS(
    E5=1, _xlfn.IFS(
        A5="Security, Identity &amp; Compliance", "RETAIN (Critical Legal/Sovereignty Roadblock)",
        A5="Compute &amp; Operating System Fit", "RETIRE / SCRAP (Obsolete Hardware/OS Profile)",
        TRUE, "RETAIN (Fatal System/Dependency Blocker)"
    ),
    E5=2, _xlfn.IFS(
        A5="Software Lifecycle &amp; Maintainability", "REFACTOR (Deep Code Rewrite Required)",
        A5="Compute &amp; Operating System Fit", "RELOCATE (Lift-to-Cloud VMware/Hypervisor Cluster)",
        TRUE, "REFACTOR / RE-ARCHITECT (High Migration Debt)"
    ),
    E5=3, _xlfn.IFS(
        A5="Data &amp; Storage Tier Compatibility", "REPLATFORM (Swap to Managed Cloud DB / Object Store)",
        A5="Networking, Integration &amp; Performance", "REPLATFORM (Swap to Cloud ALB / CloudFront CDN)",
        TRUE, "REPLATFORM / LIFT-AND-SHAPE"
    ),
    E5=4, _xlfn.IFS(
        A5="Software Lifecycle &amp; Maintainability", "REPURCHASE (Replace with Turnkey SaaS Product)",
        TRUE, "REHOST (LIFT &amp; SHIFT) (Direct VM Migration Ready)"
    ),
    TRUE, ""
)</f>
        <v>REHOST (LIFT &amp; SHIFT) (Direct VM Migration Ready)</v>
      </c>
      <c r="G5" s="15" t="s">
        <v>118</v>
      </c>
      <c r="H5" s="1"/>
    </row>
    <row r="6" spans="1:8" ht="81" customHeight="1" x14ac:dyDescent="0.35">
      <c r="A6" s="3" t="s">
        <v>11</v>
      </c>
      <c r="B6" s="10" t="s">
        <v>20</v>
      </c>
      <c r="C6" s="7" t="s">
        <v>21</v>
      </c>
      <c r="D6" s="14" t="s">
        <v>7</v>
      </c>
      <c r="E6" s="16" cm="1">
        <f t="array" ref="E6">_xlfn.IFS(D6="A", 1, D6="B", 2, D6="C", 3, D6="D", 4, TRUE, 0)</f>
        <v>4</v>
      </c>
      <c r="F6" s="17" t="str" cm="1">
        <f t="array" ref="F6">_xlfn.IFS(
    E6=1, _xlfn.IFS(
        A6="Security, Identity &amp; Compliance", "RETAIN (Critical Legal/Sovereignty Roadblock)",
        A6="Compute &amp; Operating System Fit", "RETIRE / SCRAP (Obsolete Hardware/OS Profile)",
        TRUE, "RETAIN (Fatal System/Dependency Blocker)"
    ),
    E6=2, _xlfn.IFS(
        A6="Software Lifecycle &amp; Maintainability", "REFACTOR (Deep Code Rewrite Required)",
        A6="Compute &amp; Operating System Fit", "RELOCATE (Lift-to-Cloud VMware/Hypervisor Cluster)",
        TRUE, "REFACTOR / RE-ARCHITECT (High Migration Debt)"
    ),
    E6=3, _xlfn.IFS(
        A6="Data &amp; Storage Tier Compatibility", "REPLATFORM (Swap to Managed Cloud DB / Object Store)",
        A6="Networking, Integration &amp; Performance", "REPLATFORM (Swap to Cloud ALB / CloudFront CDN)",
        TRUE, "REPLATFORM / LIFT-AND-SHAPE"
    ),
    E6=4, _xlfn.IFS(
        A6="Software Lifecycle &amp; Maintainability", "REPURCHASE (Replace with Turnkey SaaS Product)",
        TRUE, "REHOST (LIFT &amp; SHIFT) (Direct VM Migration Ready)"
    ),
    TRUE, ""
)</f>
        <v>REHOST (LIFT &amp; SHIFT) (Direct VM Migration Ready)</v>
      </c>
      <c r="G6" s="15" t="s">
        <v>117</v>
      </c>
      <c r="H6" s="1"/>
    </row>
    <row r="7" spans="1:8" ht="70.2" customHeight="1" x14ac:dyDescent="0.35">
      <c r="A7" s="3" t="s">
        <v>11</v>
      </c>
      <c r="B7" s="8" t="s">
        <v>22</v>
      </c>
      <c r="C7" s="7" t="s">
        <v>23</v>
      </c>
      <c r="D7" s="14" t="s">
        <v>7</v>
      </c>
      <c r="E7" s="16" cm="1">
        <f t="array" ref="E7">_xlfn.IFS(D7="A", 1, D7="B", 2, D7="C", 3, D7="D", 4, TRUE, 0)</f>
        <v>4</v>
      </c>
      <c r="F7" s="17" t="str" cm="1">
        <f t="array" ref="F7">_xlfn.IFS(
    E7=1, _xlfn.IFS(
        A7="Security, Identity &amp; Compliance", "RETAIN (Critical Legal/Sovereignty Roadblock)",
        A7="Compute &amp; Operating System Fit", "RETIRE / SCRAP (Obsolete Hardware/OS Profile)",
        TRUE, "RETAIN (Fatal System/Dependency Blocker)"
    ),
    E7=2, _xlfn.IFS(
        A7="Software Lifecycle &amp; Maintainability", "REFACTOR (Deep Code Rewrite Required)",
        A7="Compute &amp; Operating System Fit", "RELOCATE (Lift-to-Cloud VMware/Hypervisor Cluster)",
        TRUE, "REFACTOR / RE-ARCHITECT (High Migration Debt)"
    ),
    E7=3, _xlfn.IFS(
        A7="Data &amp; Storage Tier Compatibility", "REPLATFORM (Swap to Managed Cloud DB / Object Store)",
        A7="Networking, Integration &amp; Performance", "REPLATFORM (Swap to Cloud ALB / CloudFront CDN)",
        TRUE, "REPLATFORM / LIFT-AND-SHAPE"
    ),
    E7=4, _xlfn.IFS(
        A7="Software Lifecycle &amp; Maintainability", "REPURCHASE (Replace with Turnkey SaaS Product)",
        TRUE, "REHOST (LIFT &amp; SHIFT) (Direct VM Migration Ready)"
    ),
    TRUE, ""
)</f>
        <v>REHOST (LIFT &amp; SHIFT) (Direct VM Migration Ready)</v>
      </c>
      <c r="G7" s="15" t="s">
        <v>117</v>
      </c>
      <c r="H7" s="1"/>
    </row>
    <row r="8" spans="1:8" ht="63.6" customHeight="1" x14ac:dyDescent="0.35">
      <c r="A8" s="3" t="s">
        <v>11</v>
      </c>
      <c r="B8" s="8" t="s">
        <v>24</v>
      </c>
      <c r="C8" s="7" t="s">
        <v>25</v>
      </c>
      <c r="D8" s="14" t="s">
        <v>7</v>
      </c>
      <c r="E8" s="16" cm="1">
        <f t="array" ref="E8">_xlfn.IFS(D8="A", 1, D8="B", 2, D8="C", 3, D8="D", 4, TRUE, 0)</f>
        <v>4</v>
      </c>
      <c r="F8" s="17" t="str" cm="1">
        <f t="array" ref="F8">_xlfn.IFS(
    E8=1, _xlfn.IFS(
        A8="Security, Identity &amp; Compliance", "RETAIN (Critical Legal/Sovereignty Roadblock)",
        A8="Compute &amp; Operating System Fit", "RETIRE / SCRAP (Obsolete Hardware/OS Profile)",
        TRUE, "RETAIN (Fatal System/Dependency Blocker)"
    ),
    E8=2, _xlfn.IFS(
        A8="Software Lifecycle &amp; Maintainability", "REFACTOR (Deep Code Rewrite Required)",
        A8="Compute &amp; Operating System Fit", "RELOCATE (Lift-to-Cloud VMware/Hypervisor Cluster)",
        TRUE, "REFACTOR / RE-ARCHITECT (High Migration Debt)"
    ),
    E8=3, _xlfn.IFS(
        A8="Data &amp; Storage Tier Compatibility", "REPLATFORM (Swap to Managed Cloud DB / Object Store)",
        A8="Networking, Integration &amp; Performance", "REPLATFORM (Swap to Cloud ALB / CloudFront CDN)",
        TRUE, "REPLATFORM / LIFT-AND-SHAPE"
    ),
    E8=4, _xlfn.IFS(
        A8="Software Lifecycle &amp; Maintainability", "REPURCHASE (Replace with Turnkey SaaS Product)",
        TRUE, "REHOST (LIFT &amp; SHIFT) (Direct VM Migration Ready)"
    ),
    TRUE, ""
)</f>
        <v>REHOST (LIFT &amp; SHIFT) (Direct VM Migration Ready)</v>
      </c>
      <c r="G8" s="15" t="s">
        <v>118</v>
      </c>
      <c r="H8" s="1"/>
    </row>
    <row r="9" spans="1:8" ht="64.2" customHeight="1" x14ac:dyDescent="0.35">
      <c r="A9" s="3" t="s">
        <v>11</v>
      </c>
      <c r="B9" s="8" t="s">
        <v>26</v>
      </c>
      <c r="C9" s="7" t="s">
        <v>27</v>
      </c>
      <c r="D9" s="14" t="s">
        <v>7</v>
      </c>
      <c r="E9" s="16" cm="1">
        <f t="array" ref="E9">_xlfn.IFS(D9="A", 1, D9="B", 2, D9="C", 3, D9="D", 4, TRUE, 0)</f>
        <v>4</v>
      </c>
      <c r="F9" s="17" t="str" cm="1">
        <f t="array" ref="F9">_xlfn.IFS(
    E9=1, _xlfn.IFS(
        A9="Security, Identity &amp; Compliance", "RETAIN (Critical Legal/Sovereignty Roadblock)",
        A9="Compute &amp; Operating System Fit", "RETIRE / SCRAP (Obsolete Hardware/OS Profile)",
        TRUE, "RETAIN (Fatal System/Dependency Blocker)"
    ),
    E9=2, _xlfn.IFS(
        A9="Software Lifecycle &amp; Maintainability", "REFACTOR (Deep Code Rewrite Required)",
        A9="Compute &amp; Operating System Fit", "RELOCATE (Lift-to-Cloud VMware/Hypervisor Cluster)",
        TRUE, "REFACTOR / RE-ARCHITECT (High Migration Debt)"
    ),
    E9=3, _xlfn.IFS(
        A9="Data &amp; Storage Tier Compatibility", "REPLATFORM (Swap to Managed Cloud DB / Object Store)",
        A9="Networking, Integration &amp; Performance", "REPLATFORM (Swap to Cloud ALB / CloudFront CDN)",
        TRUE, "REPLATFORM / LIFT-AND-SHAPE"
    ),
    E9=4, _xlfn.IFS(
        A9="Software Lifecycle &amp; Maintainability", "REPURCHASE (Replace with Turnkey SaaS Product)",
        TRUE, "REHOST (LIFT &amp; SHIFT) (Direct VM Migration Ready)"
    ),
    TRUE, ""
)</f>
        <v>REHOST (LIFT &amp; SHIFT) (Direct VM Migration Ready)</v>
      </c>
      <c r="G9" s="15" t="s">
        <v>117</v>
      </c>
      <c r="H9" s="1"/>
    </row>
    <row r="10" spans="1:8" ht="81" customHeight="1" x14ac:dyDescent="0.35">
      <c r="A10" s="3" t="s">
        <v>28</v>
      </c>
      <c r="B10" s="8" t="s">
        <v>30</v>
      </c>
      <c r="C10" s="7" t="s">
        <v>29</v>
      </c>
      <c r="D10" s="15" t="s">
        <v>7</v>
      </c>
      <c r="E10" s="16" cm="1">
        <f t="array" ref="E10">_xlfn.IFS(D10="A", 1, D10="B", 2, D10="C", 3, D10="D", 4, TRUE, 0)</f>
        <v>4</v>
      </c>
      <c r="F10" s="17" t="str" cm="1">
        <f t="array" ref="F10">_xlfn.IFS(
    E10=1, _xlfn.IFS(
        A10="Security, Identity &amp; Compliance", "RETAIN (Critical Legal/Sovereignty Roadblock)",
        A10="Compute &amp; Operating System Fit", "RETIRE / SCRAP (Obsolete Hardware/OS Profile)",
        TRUE, "RETAIN (Fatal System/Dependency Blocker)"
    ),
    E10=2, _xlfn.IFS(
        A10="Software Lifecycle &amp; Maintainability", "REFACTOR (Deep Code Rewrite Required)",
        A10="Compute &amp; Operating System Fit", "RELOCATE (Lift-to-Cloud VMware/Hypervisor Cluster)",
        TRUE, "REFACTOR / RE-ARCHITECT (High Migration Debt)"
    ),
    E10=3, _xlfn.IFS(
        A10="Data &amp; Storage Tier Compatibility", "REPLATFORM (Swap to Managed Cloud DB / Object Store)",
        A10="Networking, Integration &amp; Performance", "REPLATFORM (Swap to Cloud ALB / CloudFront CDN)",
        TRUE, "REPLATFORM / LIFT-AND-SHAPE"
    ),
    E10=4, _xlfn.IFS(
        A10="Software Lifecycle &amp; Maintainability", "REPURCHASE (Replace with Turnkey SaaS Product)",
        TRUE, "REHOST (LIFT &amp; SHIFT) (Direct VM Migration Ready)"
    ),
    TRUE, ""
)</f>
        <v>REHOST (LIFT &amp; SHIFT) (Direct VM Migration Ready)</v>
      </c>
      <c r="G10" s="15" t="s">
        <v>117</v>
      </c>
      <c r="H10" s="1"/>
    </row>
    <row r="11" spans="1:8" ht="67.8" customHeight="1" x14ac:dyDescent="0.35">
      <c r="A11" s="3" t="s">
        <v>28</v>
      </c>
      <c r="B11" s="8" t="s">
        <v>31</v>
      </c>
      <c r="C11" s="7" t="s">
        <v>32</v>
      </c>
      <c r="D11" s="15" t="s">
        <v>7</v>
      </c>
      <c r="E11" s="16" cm="1">
        <f t="array" ref="E11">_xlfn.IFS(D11="A", 1, D11="B", 2, D11="C", 3, D11="D", 4, TRUE, 0)</f>
        <v>4</v>
      </c>
      <c r="F11" s="17" t="str" cm="1">
        <f t="array" ref="F11">_xlfn.IFS(
    E11=1, _xlfn.IFS(
        A11="Security, Identity &amp; Compliance", "RETAIN (Critical Legal/Sovereignty Roadblock)",
        A11="Compute &amp; Operating System Fit", "RETIRE / SCRAP (Obsolete Hardware/OS Profile)",
        TRUE, "RETAIN (Fatal System/Dependency Blocker)"
    ),
    E11=2, _xlfn.IFS(
        A11="Software Lifecycle &amp; Maintainability", "REFACTOR (Deep Code Rewrite Required)",
        A11="Compute &amp; Operating System Fit", "RELOCATE (Lift-to-Cloud VMware/Hypervisor Cluster)",
        TRUE, "REFACTOR / RE-ARCHITECT (High Migration Debt)"
    ),
    E11=3, _xlfn.IFS(
        A11="Data &amp; Storage Tier Compatibility", "REPLATFORM (Swap to Managed Cloud DB / Object Store)",
        A11="Networking, Integration &amp; Performance", "REPLATFORM (Swap to Cloud ALB / CloudFront CDN)",
        TRUE, "REPLATFORM / LIFT-AND-SHAPE"
    ),
    E11=4, _xlfn.IFS(
        A11="Software Lifecycle &amp; Maintainability", "REPURCHASE (Replace with Turnkey SaaS Product)",
        TRUE, "REHOST (LIFT &amp; SHIFT) (Direct VM Migration Ready)"
    ),
    TRUE, ""
)</f>
        <v>REHOST (LIFT &amp; SHIFT) (Direct VM Migration Ready)</v>
      </c>
      <c r="G11" s="15" t="s">
        <v>117</v>
      </c>
      <c r="H11" s="1"/>
    </row>
    <row r="12" spans="1:8" ht="64.2" customHeight="1" x14ac:dyDescent="0.35">
      <c r="A12" s="3" t="s">
        <v>28</v>
      </c>
      <c r="B12" s="8" t="s">
        <v>33</v>
      </c>
      <c r="C12" s="7" t="s">
        <v>34</v>
      </c>
      <c r="D12" s="15" t="s">
        <v>7</v>
      </c>
      <c r="E12" s="16" cm="1">
        <f t="array" ref="E12">_xlfn.IFS(D12="A", 1, D12="B", 2, D12="C", 3, D12="D", 4, TRUE, 0)</f>
        <v>4</v>
      </c>
      <c r="F12" s="17" t="str" cm="1">
        <f t="array" ref="F12">_xlfn.IFS(
    E12=1, _xlfn.IFS(
        A12="Security, Identity &amp; Compliance", "RETAIN (Critical Legal/Sovereignty Roadblock)",
        A12="Compute &amp; Operating System Fit", "RETIRE / SCRAP (Obsolete Hardware/OS Profile)",
        TRUE, "RETAIN (Fatal System/Dependency Blocker)"
    ),
    E12=2, _xlfn.IFS(
        A12="Software Lifecycle &amp; Maintainability", "REFACTOR (Deep Code Rewrite Required)",
        A12="Compute &amp; Operating System Fit", "RELOCATE (Lift-to-Cloud VMware/Hypervisor Cluster)",
        TRUE, "REFACTOR / RE-ARCHITECT (High Migration Debt)"
    ),
    E12=3, _xlfn.IFS(
        A12="Data &amp; Storage Tier Compatibility", "REPLATFORM (Swap to Managed Cloud DB / Object Store)",
        A12="Networking, Integration &amp; Performance", "REPLATFORM (Swap to Cloud ALB / CloudFront CDN)",
        TRUE, "REPLATFORM / LIFT-AND-SHAPE"
    ),
    E12=4, _xlfn.IFS(
        A12="Software Lifecycle &amp; Maintainability", "REPURCHASE (Replace with Turnkey SaaS Product)",
        TRUE, "REHOST (LIFT &amp; SHIFT) (Direct VM Migration Ready)"
    ),
    TRUE, ""
)</f>
        <v>REHOST (LIFT &amp; SHIFT) (Direct VM Migration Ready)</v>
      </c>
      <c r="G12" s="15" t="s">
        <v>117</v>
      </c>
      <c r="H12" s="1"/>
    </row>
    <row r="13" spans="1:8" ht="64.8" customHeight="1" x14ac:dyDescent="0.35">
      <c r="A13" s="3" t="s">
        <v>28</v>
      </c>
      <c r="B13" s="8" t="s">
        <v>35</v>
      </c>
      <c r="C13" s="7" t="s">
        <v>36</v>
      </c>
      <c r="D13" s="15" t="s">
        <v>7</v>
      </c>
      <c r="E13" s="16" cm="1">
        <f t="array" ref="E13">_xlfn.IFS(D13="A", 1, D13="B", 2, D13="C", 3, D13="D", 4, TRUE, 0)</f>
        <v>4</v>
      </c>
      <c r="F13" s="17" t="str" cm="1">
        <f t="array" ref="F13">_xlfn.IFS(
    E13=1, _xlfn.IFS(
        A13="Security, Identity &amp; Compliance", "RETAIN (Critical Legal/Sovereignty Roadblock)",
        A13="Compute &amp; Operating System Fit", "RETIRE / SCRAP (Obsolete Hardware/OS Profile)",
        TRUE, "RETAIN (Fatal System/Dependency Blocker)"
    ),
    E13=2, _xlfn.IFS(
        A13="Software Lifecycle &amp; Maintainability", "REFACTOR (Deep Code Rewrite Required)",
        A13="Compute &amp; Operating System Fit", "RELOCATE (Lift-to-Cloud VMware/Hypervisor Cluster)",
        TRUE, "REFACTOR / RE-ARCHITECT (High Migration Debt)"
    ),
    E13=3, _xlfn.IFS(
        A13="Data &amp; Storage Tier Compatibility", "REPLATFORM (Swap to Managed Cloud DB / Object Store)",
        A13="Networking, Integration &amp; Performance", "REPLATFORM (Swap to Cloud ALB / CloudFront CDN)",
        TRUE, "REPLATFORM / LIFT-AND-SHAPE"
    ),
    E13=4, _xlfn.IFS(
        A13="Software Lifecycle &amp; Maintainability", "REPURCHASE (Replace with Turnkey SaaS Product)",
        TRUE, "REHOST (LIFT &amp; SHIFT) (Direct VM Migration Ready)"
    ),
    TRUE, ""
)</f>
        <v>REHOST (LIFT &amp; SHIFT) (Direct VM Migration Ready)</v>
      </c>
      <c r="G13" s="15" t="s">
        <v>117</v>
      </c>
      <c r="H13" s="1"/>
    </row>
    <row r="14" spans="1:8" ht="88.2" customHeight="1" x14ac:dyDescent="0.35">
      <c r="A14" s="3" t="s">
        <v>28</v>
      </c>
      <c r="B14" s="8" t="s">
        <v>38</v>
      </c>
      <c r="C14" s="7" t="s">
        <v>37</v>
      </c>
      <c r="D14" s="15" t="s">
        <v>7</v>
      </c>
      <c r="E14" s="16" cm="1">
        <f t="array" ref="E14">_xlfn.IFS(D14="A", 1, D14="B", 2, D14="C", 3, D14="D", 4, TRUE, 0)</f>
        <v>4</v>
      </c>
      <c r="F14" s="17" t="str" cm="1">
        <f t="array" ref="F14">_xlfn.IFS(
    E14=1, _xlfn.IFS(
        A14="Security, Identity &amp; Compliance", "RETAIN (Critical Legal/Sovereignty Roadblock)",
        A14="Compute &amp; Operating System Fit", "RETIRE / SCRAP (Obsolete Hardware/OS Profile)",
        TRUE, "RETAIN (Fatal System/Dependency Blocker)"
    ),
    E14=2, _xlfn.IFS(
        A14="Software Lifecycle &amp; Maintainability", "REFACTOR (Deep Code Rewrite Required)",
        A14="Compute &amp; Operating System Fit", "RELOCATE (Lift-to-Cloud VMware/Hypervisor Cluster)",
        TRUE, "REFACTOR / RE-ARCHITECT (High Migration Debt)"
    ),
    E14=3, _xlfn.IFS(
        A14="Data &amp; Storage Tier Compatibility", "REPLATFORM (Swap to Managed Cloud DB / Object Store)",
        A14="Networking, Integration &amp; Performance", "REPLATFORM (Swap to Cloud ALB / CloudFront CDN)",
        TRUE, "REPLATFORM / LIFT-AND-SHAPE"
    ),
    E14=4, _xlfn.IFS(
        A14="Software Lifecycle &amp; Maintainability", "REPURCHASE (Replace with Turnkey SaaS Product)",
        TRUE, "REHOST (LIFT &amp; SHIFT) (Direct VM Migration Ready)"
    ),
    TRUE, ""
)</f>
        <v>REHOST (LIFT &amp; SHIFT) (Direct VM Migration Ready)</v>
      </c>
      <c r="G14" s="15" t="s">
        <v>118</v>
      </c>
      <c r="H14" s="1"/>
    </row>
    <row r="15" spans="1:8" ht="82.2" customHeight="1" x14ac:dyDescent="0.35">
      <c r="A15" s="3" t="s">
        <v>28</v>
      </c>
      <c r="B15" s="8" t="s">
        <v>39</v>
      </c>
      <c r="C15" s="7" t="s">
        <v>40</v>
      </c>
      <c r="D15" s="15" t="s">
        <v>7</v>
      </c>
      <c r="E15" s="16" cm="1">
        <f t="array" ref="E15">_xlfn.IFS(D15="A", 1, D15="B", 2, D15="C", 3, D15="D", 4, TRUE, 0)</f>
        <v>4</v>
      </c>
      <c r="F15" s="17" t="str" cm="1">
        <f t="array" ref="F15">_xlfn.IFS(
    E15=1, _xlfn.IFS(
        A15="Security, Identity &amp; Compliance", "RETAIN (Critical Legal/Sovereignty Roadblock)",
        A15="Compute &amp; Operating System Fit", "RETIRE / SCRAP (Obsolete Hardware/OS Profile)",
        TRUE, "RETAIN (Fatal System/Dependency Blocker)"
    ),
    E15=2, _xlfn.IFS(
        A15="Software Lifecycle &amp; Maintainability", "REFACTOR (Deep Code Rewrite Required)",
        A15="Compute &amp; Operating System Fit", "RELOCATE (Lift-to-Cloud VMware/Hypervisor Cluster)",
        TRUE, "REFACTOR / RE-ARCHITECT (High Migration Debt)"
    ),
    E15=3, _xlfn.IFS(
        A15="Data &amp; Storage Tier Compatibility", "REPLATFORM (Swap to Managed Cloud DB / Object Store)",
        A15="Networking, Integration &amp; Performance", "REPLATFORM (Swap to Cloud ALB / CloudFront CDN)",
        TRUE, "REPLATFORM / LIFT-AND-SHAPE"
    ),
    E15=4, _xlfn.IFS(
        A15="Software Lifecycle &amp; Maintainability", "REPURCHASE (Replace with Turnkey SaaS Product)",
        TRUE, "REHOST (LIFT &amp; SHIFT) (Direct VM Migration Ready)"
    ),
    TRUE, ""
)</f>
        <v>REHOST (LIFT &amp; SHIFT) (Direct VM Migration Ready)</v>
      </c>
      <c r="G15" s="15" t="s">
        <v>116</v>
      </c>
      <c r="H15" s="1"/>
    </row>
    <row r="16" spans="1:8" ht="72.599999999999994" customHeight="1" x14ac:dyDescent="0.35">
      <c r="A16" s="3" t="s">
        <v>28</v>
      </c>
      <c r="B16" s="8" t="s">
        <v>41</v>
      </c>
      <c r="C16" s="7" t="s">
        <v>42</v>
      </c>
      <c r="D16" s="15" t="s">
        <v>7</v>
      </c>
      <c r="E16" s="16" cm="1">
        <f t="array" ref="E16">_xlfn.IFS(D16="A", 1, D16="B", 2, D16="C", 3, D16="D", 4, TRUE, 0)</f>
        <v>4</v>
      </c>
      <c r="F16" s="17" t="str" cm="1">
        <f t="array" ref="F16">_xlfn.IFS(
    E16=1, _xlfn.IFS(
        A16="Security, Identity &amp; Compliance", "RETAIN (Critical Legal/Sovereignty Roadblock)",
        A16="Compute &amp; Operating System Fit", "RETIRE / SCRAP (Obsolete Hardware/OS Profile)",
        TRUE, "RETAIN (Fatal System/Dependency Blocker)"
    ),
    E16=2, _xlfn.IFS(
        A16="Software Lifecycle &amp; Maintainability", "REFACTOR (Deep Code Rewrite Required)",
        A16="Compute &amp; Operating System Fit", "RELOCATE (Lift-to-Cloud VMware/Hypervisor Cluster)",
        TRUE, "REFACTOR / RE-ARCHITECT (High Migration Debt)"
    ),
    E16=3, _xlfn.IFS(
        A16="Data &amp; Storage Tier Compatibility", "REPLATFORM (Swap to Managed Cloud DB / Object Store)",
        A16="Networking, Integration &amp; Performance", "REPLATFORM (Swap to Cloud ALB / CloudFront CDN)",
        TRUE, "REPLATFORM / LIFT-AND-SHAPE"
    ),
    E16=4, _xlfn.IFS(
        A16="Software Lifecycle &amp; Maintainability", "REPURCHASE (Replace with Turnkey SaaS Product)",
        TRUE, "REHOST (LIFT &amp; SHIFT) (Direct VM Migration Ready)"
    ),
    TRUE, ""
)</f>
        <v>REHOST (LIFT &amp; SHIFT) (Direct VM Migration Ready)</v>
      </c>
      <c r="G16" s="15" t="s">
        <v>117</v>
      </c>
      <c r="H16" s="1"/>
    </row>
    <row r="17" spans="1:8" ht="69.599999999999994" customHeight="1" x14ac:dyDescent="0.35">
      <c r="A17" s="3" t="s">
        <v>28</v>
      </c>
      <c r="B17" s="8" t="s">
        <v>43</v>
      </c>
      <c r="C17" s="6" t="s">
        <v>44</v>
      </c>
      <c r="D17" s="15" t="s">
        <v>7</v>
      </c>
      <c r="E17" s="18" cm="1">
        <f t="array" ref="E17">_xlfn.IFS(D17="A", 1, D17="B", 2, D17="C", 3, D17="D", 4, TRUE, 0)</f>
        <v>4</v>
      </c>
      <c r="F17" s="17" t="str" cm="1">
        <f t="array" ref="F17">_xlfn.IFS(
    E17=1, _xlfn.IFS(
        A17="Security, Identity &amp; Compliance", "RETAIN (Critical Legal/Sovereignty Roadblock)",
        A17="Compute &amp; Operating System Fit", "RETIRE / SCRAP (Obsolete Hardware/OS Profile)",
        TRUE, "RETAIN (Fatal System/Dependency Blocker)"
    ),
    E17=2, _xlfn.IFS(
        A17="Software Lifecycle &amp; Maintainability", "REFACTOR (Deep Code Rewrite Required)",
        A17="Compute &amp; Operating System Fit", "RELOCATE (Lift-to-Cloud VMware/Hypervisor Cluster)",
        TRUE, "REFACTOR / RE-ARCHITECT (High Migration Debt)"
    ),
    E17=3, _xlfn.IFS(
        A17="Data &amp; Storage Tier Compatibility", "REPLATFORM (Swap to Managed Cloud DB / Object Store)",
        A17="Networking, Integration &amp; Performance", "REPLATFORM (Swap to Cloud ALB / CloudFront CDN)",
        TRUE, "REPLATFORM / LIFT-AND-SHAPE"
    ),
    E17=4, _xlfn.IFS(
        A17="Software Lifecycle &amp; Maintainability", "REPURCHASE (Replace with Turnkey SaaS Product)",
        TRUE, "REHOST (LIFT &amp; SHIFT) (Direct VM Migration Ready)"
    ),
    TRUE, ""
)</f>
        <v>REHOST (LIFT &amp; SHIFT) (Direct VM Migration Ready)</v>
      </c>
      <c r="G17" s="15" t="s">
        <v>117</v>
      </c>
      <c r="H17" s="1"/>
    </row>
    <row r="18" spans="1:8" ht="73.2" customHeight="1" x14ac:dyDescent="0.35">
      <c r="A18" s="3" t="s">
        <v>45</v>
      </c>
      <c r="B18" s="8" t="s">
        <v>46</v>
      </c>
      <c r="C18" s="6" t="s">
        <v>47</v>
      </c>
      <c r="D18" s="15" t="s">
        <v>7</v>
      </c>
      <c r="E18" s="18" cm="1">
        <f t="array" ref="E18">_xlfn.IFS(D18="A", 1, D18="B", 2, D18="C", 3, D18="D", 4, TRUE, 0)</f>
        <v>4</v>
      </c>
      <c r="F18" s="17" t="str" cm="1">
        <f t="array" ref="F18">_xlfn.IFS(
    E18=1, _xlfn.IFS(
        A18="Security, Identity &amp; Compliance", "RETAIN (Critical Legal/Sovereignty Roadblock)",
        A18="Compute &amp; Operating System Fit", "RETIRE / SCRAP (Obsolete Hardware/OS Profile)",
        TRUE, "RETAIN (Fatal System/Dependency Blocker)"
    ),
    E18=2, _xlfn.IFS(
        A18="Software Lifecycle &amp; Maintainability", "REFACTOR (Deep Code Rewrite Required)",
        A18="Compute &amp; Operating System Fit", "RELOCATE (Lift-to-Cloud VMware/Hypervisor Cluster)",
        TRUE, "REFACTOR / RE-ARCHITECT (High Migration Debt)"
    ),
    E18=3, _xlfn.IFS(
        A18="Data &amp; Storage Tier Compatibility", "REPLATFORM (Swap to Managed Cloud DB / Object Store)",
        A18="Networking, Integration &amp; Performance", "REPLATFORM (Swap to Cloud ALB / CloudFront CDN)",
        TRUE, "REPLATFORM / LIFT-AND-SHAPE"
    ),
    E18=4, _xlfn.IFS(
        A18="Software Lifecycle &amp; Maintainability", "REPURCHASE (Replace with Turnkey SaaS Product)",
        TRUE, "REHOST (LIFT &amp; SHIFT) (Direct VM Migration Ready)"
    ),
    TRUE, ""
)</f>
        <v>REHOST (LIFT &amp; SHIFT) (Direct VM Migration Ready)</v>
      </c>
      <c r="G18" s="15" t="s">
        <v>117</v>
      </c>
      <c r="H18" s="1"/>
    </row>
    <row r="19" spans="1:8" ht="66.599999999999994" customHeight="1" x14ac:dyDescent="0.35">
      <c r="A19" s="3" t="s">
        <v>45</v>
      </c>
      <c r="B19" s="8" t="s">
        <v>48</v>
      </c>
      <c r="C19" s="7" t="s">
        <v>49</v>
      </c>
      <c r="D19" s="15" t="s">
        <v>7</v>
      </c>
      <c r="E19" s="18" cm="1">
        <f t="array" ref="E19">_xlfn.IFS(D19="A", 1, D19="B", 2, D19="C", 3, D19="D", 4, TRUE, 0)</f>
        <v>4</v>
      </c>
      <c r="F19" s="17" t="str" cm="1">
        <f t="array" ref="F19">_xlfn.IFS(
    E19=1, _xlfn.IFS(
        A19="Security, Identity &amp; Compliance", "RETAIN (Critical Legal/Sovereignty Roadblock)",
        A19="Compute &amp; Operating System Fit", "RETIRE / SCRAP (Obsolete Hardware/OS Profile)",
        TRUE, "RETAIN (Fatal System/Dependency Blocker)"
    ),
    E19=2, _xlfn.IFS(
        A19="Software Lifecycle &amp; Maintainability", "REFACTOR (Deep Code Rewrite Required)",
        A19="Compute &amp; Operating System Fit", "RELOCATE (Lift-to-Cloud VMware/Hypervisor Cluster)",
        TRUE, "REFACTOR / RE-ARCHITECT (High Migration Debt)"
    ),
    E19=3, _xlfn.IFS(
        A19="Data &amp; Storage Tier Compatibility", "REPLATFORM (Swap to Managed Cloud DB / Object Store)",
        A19="Networking, Integration &amp; Performance", "REPLATFORM (Swap to Cloud ALB / CloudFront CDN)",
        TRUE, "REPLATFORM / LIFT-AND-SHAPE"
    ),
    E19=4, _xlfn.IFS(
        A19="Software Lifecycle &amp; Maintainability", "REPURCHASE (Replace with Turnkey SaaS Product)",
        TRUE, "REHOST (LIFT &amp; SHIFT) (Direct VM Migration Ready)"
    ),
    TRUE, ""
)</f>
        <v>REHOST (LIFT &amp; SHIFT) (Direct VM Migration Ready)</v>
      </c>
      <c r="G19" s="15" t="s">
        <v>117</v>
      </c>
      <c r="H19" s="1"/>
    </row>
    <row r="20" spans="1:8" ht="69.599999999999994" customHeight="1" x14ac:dyDescent="0.35">
      <c r="A20" s="3" t="s">
        <v>45</v>
      </c>
      <c r="B20" s="8" t="s">
        <v>50</v>
      </c>
      <c r="C20" s="7" t="s">
        <v>51</v>
      </c>
      <c r="D20" s="15" t="s">
        <v>7</v>
      </c>
      <c r="E20" s="18" cm="1">
        <f t="array" ref="E20">_xlfn.IFS(D20="A", 1, D20="B", 2, D20="C", 3, D20="D", 4, TRUE, 0)</f>
        <v>4</v>
      </c>
      <c r="F20" s="17" t="str" cm="1">
        <f t="array" ref="F20">_xlfn.IFS(
    E20=1, _xlfn.IFS(
        A20="Security, Identity &amp; Compliance", "RETAIN (Critical Legal/Sovereignty Roadblock)",
        A20="Compute &amp; Operating System Fit", "RETIRE / SCRAP (Obsolete Hardware/OS Profile)",
        TRUE, "RETAIN (Fatal System/Dependency Blocker)"
    ),
    E20=2, _xlfn.IFS(
        A20="Software Lifecycle &amp; Maintainability", "REFACTOR (Deep Code Rewrite Required)",
        A20="Compute &amp; Operating System Fit", "RELOCATE (Lift-to-Cloud VMware/Hypervisor Cluster)",
        TRUE, "REFACTOR / RE-ARCHITECT (High Migration Debt)"
    ),
    E20=3, _xlfn.IFS(
        A20="Data &amp; Storage Tier Compatibility", "REPLATFORM (Swap to Managed Cloud DB / Object Store)",
        A20="Networking, Integration &amp; Performance", "REPLATFORM (Swap to Cloud ALB / CloudFront CDN)",
        TRUE, "REPLATFORM / LIFT-AND-SHAPE"
    ),
    E20=4, _xlfn.IFS(
        A20="Software Lifecycle &amp; Maintainability", "REPURCHASE (Replace with Turnkey SaaS Product)",
        TRUE, "REHOST (LIFT &amp; SHIFT) (Direct VM Migration Ready)"
    ),
    TRUE, ""
)</f>
        <v>REHOST (LIFT &amp; SHIFT) (Direct VM Migration Ready)</v>
      </c>
      <c r="G20" s="15" t="s">
        <v>116</v>
      </c>
    </row>
    <row r="21" spans="1:8" ht="67.2" customHeight="1" x14ac:dyDescent="0.35">
      <c r="A21" s="3" t="s">
        <v>45</v>
      </c>
      <c r="B21" s="8" t="s">
        <v>52</v>
      </c>
      <c r="C21" s="7" t="s">
        <v>53</v>
      </c>
      <c r="D21" s="15" t="s">
        <v>7</v>
      </c>
      <c r="E21" s="18" cm="1">
        <f t="array" ref="E21">_xlfn.IFS(D21="A", 1, D21="B", 2, D21="C", 3, D21="D", 4, TRUE, 0)</f>
        <v>4</v>
      </c>
      <c r="F21" s="17" t="str" cm="1">
        <f t="array" ref="F21">_xlfn.IFS(
    E21=1, _xlfn.IFS(
        A21="Security, Identity &amp; Compliance", "RETAIN (Critical Legal/Sovereignty Roadblock)",
        A21="Compute &amp; Operating System Fit", "RETIRE / SCRAP (Obsolete Hardware/OS Profile)",
        TRUE, "RETAIN (Fatal System/Dependency Blocker)"
    ),
    E21=2, _xlfn.IFS(
        A21="Software Lifecycle &amp; Maintainability", "REFACTOR (Deep Code Rewrite Required)",
        A21="Compute &amp; Operating System Fit", "RELOCATE (Lift-to-Cloud VMware/Hypervisor Cluster)",
        TRUE, "REFACTOR / RE-ARCHITECT (High Migration Debt)"
    ),
    E21=3, _xlfn.IFS(
        A21="Data &amp; Storage Tier Compatibility", "REPLATFORM (Swap to Managed Cloud DB / Object Store)",
        A21="Networking, Integration &amp; Performance", "REPLATFORM (Swap to Cloud ALB / CloudFront CDN)",
        TRUE, "REPLATFORM / LIFT-AND-SHAPE"
    ),
    E21=4, _xlfn.IFS(
        A21="Software Lifecycle &amp; Maintainability", "REPURCHASE (Replace with Turnkey SaaS Product)",
        TRUE, "REHOST (LIFT &amp; SHIFT) (Direct VM Migration Ready)"
    ),
    TRUE, ""
)</f>
        <v>REHOST (LIFT &amp; SHIFT) (Direct VM Migration Ready)</v>
      </c>
      <c r="G21" s="15" t="s">
        <v>116</v>
      </c>
    </row>
    <row r="22" spans="1:8" ht="67.8" customHeight="1" x14ac:dyDescent="0.35">
      <c r="A22" s="3" t="s">
        <v>45</v>
      </c>
      <c r="B22" s="8" t="s">
        <v>54</v>
      </c>
      <c r="C22" s="7" t="s">
        <v>55</v>
      </c>
      <c r="D22" s="15" t="s">
        <v>7</v>
      </c>
      <c r="E22" s="18" cm="1">
        <f t="array" ref="E22">_xlfn.IFS(D22="A", 1, D22="B", 2, D22="C", 3, D22="D", 4, TRUE, 0)</f>
        <v>4</v>
      </c>
      <c r="F22" s="17" t="str" cm="1">
        <f t="array" ref="F22">_xlfn.IFS(
    E22=1, _xlfn.IFS(
        A22="Security, Identity &amp; Compliance", "RETAIN (Critical Legal/Sovereignty Roadblock)",
        A22="Compute &amp; Operating System Fit", "RETIRE / SCRAP (Obsolete Hardware/OS Profile)",
        TRUE, "RETAIN (Fatal System/Dependency Blocker)"
    ),
    E22=2, _xlfn.IFS(
        A22="Software Lifecycle &amp; Maintainability", "REFACTOR (Deep Code Rewrite Required)",
        A22="Compute &amp; Operating System Fit", "RELOCATE (Lift-to-Cloud VMware/Hypervisor Cluster)",
        TRUE, "REFACTOR / RE-ARCHITECT (High Migration Debt)"
    ),
    E22=3, _xlfn.IFS(
        A22="Data &amp; Storage Tier Compatibility", "REPLATFORM (Swap to Managed Cloud DB / Object Store)",
        A22="Networking, Integration &amp; Performance", "REPLATFORM (Swap to Cloud ALB / CloudFront CDN)",
        TRUE, "REPLATFORM / LIFT-AND-SHAPE"
    ),
    E22=4, _xlfn.IFS(
        A22="Software Lifecycle &amp; Maintainability", "REPURCHASE (Replace with Turnkey SaaS Product)",
        TRUE, "REHOST (LIFT &amp; SHIFT) (Direct VM Migration Ready)"
    ),
    TRUE, ""
)</f>
        <v>REHOST (LIFT &amp; SHIFT) (Direct VM Migration Ready)</v>
      </c>
      <c r="G22" s="15" t="s">
        <v>116</v>
      </c>
    </row>
    <row r="23" spans="1:8" ht="63" customHeight="1" x14ac:dyDescent="0.35">
      <c r="A23" s="3" t="s">
        <v>45</v>
      </c>
      <c r="B23" s="8" t="s">
        <v>56</v>
      </c>
      <c r="C23" s="7" t="s">
        <v>57</v>
      </c>
      <c r="D23" s="15" t="s">
        <v>7</v>
      </c>
      <c r="E23" s="18" cm="1">
        <f t="array" ref="E23">_xlfn.IFS(D23="A", 1, D23="B", 2, D23="C", 3, D23="D", 4, TRUE, 0)</f>
        <v>4</v>
      </c>
      <c r="F23" s="17" t="str" cm="1">
        <f t="array" ref="F23">_xlfn.IFS(
    E23=1, _xlfn.IFS(
        A23="Security, Identity &amp; Compliance", "RETAIN (Critical Legal/Sovereignty Roadblock)",
        A23="Compute &amp; Operating System Fit", "RETIRE / SCRAP (Obsolete Hardware/OS Profile)",
        TRUE, "RETAIN (Fatal System/Dependency Blocker)"
    ),
    E23=2, _xlfn.IFS(
        A23="Software Lifecycle &amp; Maintainability", "REFACTOR (Deep Code Rewrite Required)",
        A23="Compute &amp; Operating System Fit", "RELOCATE (Lift-to-Cloud VMware/Hypervisor Cluster)",
        TRUE, "REFACTOR / RE-ARCHITECT (High Migration Debt)"
    ),
    E23=3, _xlfn.IFS(
        A23="Data &amp; Storage Tier Compatibility", "REPLATFORM (Swap to Managed Cloud DB / Object Store)",
        A23="Networking, Integration &amp; Performance", "REPLATFORM (Swap to Cloud ALB / CloudFront CDN)",
        TRUE, "REPLATFORM / LIFT-AND-SHAPE"
    ),
    E23=4, _xlfn.IFS(
        A23="Software Lifecycle &amp; Maintainability", "REPURCHASE (Replace with Turnkey SaaS Product)",
        TRUE, "REHOST (LIFT &amp; SHIFT) (Direct VM Migration Ready)"
    ),
    TRUE, ""
)</f>
        <v>REHOST (LIFT &amp; SHIFT) (Direct VM Migration Ready)</v>
      </c>
      <c r="G23" s="15" t="s">
        <v>116</v>
      </c>
    </row>
    <row r="24" spans="1:8" ht="70.8" customHeight="1" x14ac:dyDescent="0.35">
      <c r="A24" s="3" t="s">
        <v>45</v>
      </c>
      <c r="B24" s="8" t="s">
        <v>58</v>
      </c>
      <c r="C24" s="7" t="s">
        <v>59</v>
      </c>
      <c r="D24" s="15" t="s">
        <v>7</v>
      </c>
      <c r="E24" s="18" cm="1">
        <f t="array" ref="E24">_xlfn.IFS(D24="A", 1, D24="B", 2, D24="C", 3, D24="D", 4, TRUE, 0)</f>
        <v>4</v>
      </c>
      <c r="F24" s="17" t="str" cm="1">
        <f t="array" ref="F24">_xlfn.IFS(
    E24=1, _xlfn.IFS(
        A24="Security, Identity &amp; Compliance", "RETAIN (Critical Legal/Sovereignty Roadblock)",
        A24="Compute &amp; Operating System Fit", "RETIRE / SCRAP (Obsolete Hardware/OS Profile)",
        TRUE, "RETAIN (Fatal System/Dependency Blocker)"
    ),
    E24=2, _xlfn.IFS(
        A24="Software Lifecycle &amp; Maintainability", "REFACTOR (Deep Code Rewrite Required)",
        A24="Compute &amp; Operating System Fit", "RELOCATE (Lift-to-Cloud VMware/Hypervisor Cluster)",
        TRUE, "REFACTOR / RE-ARCHITECT (High Migration Debt)"
    ),
    E24=3, _xlfn.IFS(
        A24="Data &amp; Storage Tier Compatibility", "REPLATFORM (Swap to Managed Cloud DB / Object Store)",
        A24="Networking, Integration &amp; Performance", "REPLATFORM (Swap to Cloud ALB / CloudFront CDN)",
        TRUE, "REPLATFORM / LIFT-AND-SHAPE"
    ),
    E24=4, _xlfn.IFS(
        A24="Software Lifecycle &amp; Maintainability", "REPURCHASE (Replace with Turnkey SaaS Product)",
        TRUE, "REHOST (LIFT &amp; SHIFT) (Direct VM Migration Ready)"
    ),
    TRUE, ""
)</f>
        <v>REHOST (LIFT &amp; SHIFT) (Direct VM Migration Ready)</v>
      </c>
      <c r="G24" s="15" t="s">
        <v>116</v>
      </c>
    </row>
    <row r="25" spans="1:8" ht="63.6" customHeight="1" x14ac:dyDescent="0.35">
      <c r="A25" s="3" t="s">
        <v>45</v>
      </c>
      <c r="B25" s="8" t="s">
        <v>60</v>
      </c>
      <c r="C25" s="7" t="s">
        <v>61</v>
      </c>
      <c r="D25" s="15" t="s">
        <v>7</v>
      </c>
      <c r="E25" s="18" cm="1">
        <f t="array" ref="E25">_xlfn.IFS(D25="A", 1, D25="B", 2, D25="C", 3, D25="D", 4, TRUE, 0)</f>
        <v>4</v>
      </c>
      <c r="F25" s="17" t="str" cm="1">
        <f t="array" ref="F25">_xlfn.IFS(
    E25=1, _xlfn.IFS(
        A25="Security, Identity &amp; Compliance", "RETAIN (Critical Legal/Sovereignty Roadblock)",
        A25="Compute &amp; Operating System Fit", "RETIRE / SCRAP (Obsolete Hardware/OS Profile)",
        TRUE, "RETAIN (Fatal System/Dependency Blocker)"
    ),
    E25=2, _xlfn.IFS(
        A25="Software Lifecycle &amp; Maintainability", "REFACTOR (Deep Code Rewrite Required)",
        A25="Compute &amp; Operating System Fit", "RELOCATE (Lift-to-Cloud VMware/Hypervisor Cluster)",
        TRUE, "REFACTOR / RE-ARCHITECT (High Migration Debt)"
    ),
    E25=3, _xlfn.IFS(
        A25="Data &amp; Storage Tier Compatibility", "REPLATFORM (Swap to Managed Cloud DB / Object Store)",
        A25="Networking, Integration &amp; Performance", "REPLATFORM (Swap to Cloud ALB / CloudFront CDN)",
        TRUE, "REPLATFORM / LIFT-AND-SHAPE"
    ),
    E25=4, _xlfn.IFS(
        A25="Software Lifecycle &amp; Maintainability", "REPURCHASE (Replace with Turnkey SaaS Product)",
        TRUE, "REHOST (LIFT &amp; SHIFT) (Direct VM Migration Ready)"
    ),
    TRUE, ""
)</f>
        <v>REHOST (LIFT &amp; SHIFT) (Direct VM Migration Ready)</v>
      </c>
      <c r="G25" s="15" t="s">
        <v>116</v>
      </c>
    </row>
    <row r="26" spans="1:8" ht="55.8" x14ac:dyDescent="0.35">
      <c r="A26" s="3" t="s">
        <v>62</v>
      </c>
      <c r="B26" s="8" t="s">
        <v>63</v>
      </c>
      <c r="C26" s="7" t="s">
        <v>64</v>
      </c>
      <c r="D26" s="15" t="s">
        <v>7</v>
      </c>
      <c r="E26" s="18" cm="1">
        <f t="array" ref="E26">_xlfn.IFS(D26="A", 1, D26="B", 2, D26="C", 3, D26="D", 4, TRUE, 0)</f>
        <v>4</v>
      </c>
      <c r="F26" s="17" t="str" cm="1">
        <f t="array" ref="F26">_xlfn.IFS(
    E26=1, _xlfn.IFS(
        A26="Security, Identity &amp; Compliance", "RETAIN (Critical Legal/Sovereignty Roadblock)",
        A26="Compute &amp; Operating System Fit", "RETIRE / SCRAP (Obsolete Hardware/OS Profile)",
        TRUE, "RETAIN (Fatal System/Dependency Blocker)"
    ),
    E26=2, _xlfn.IFS(
        A26="Software Lifecycle &amp; Maintainability", "REFACTOR (Deep Code Rewrite Required)",
        A26="Compute &amp; Operating System Fit", "RELOCATE (Lift-to-Cloud VMware/Hypervisor Cluster)",
        TRUE, "REFACTOR / RE-ARCHITECT (High Migration Debt)"
    ),
    E26=3, _xlfn.IFS(
        A26="Data &amp; Storage Tier Compatibility", "REPLATFORM (Swap to Managed Cloud DB / Object Store)",
        A26="Networking, Integration &amp; Performance", "REPLATFORM (Swap to Cloud ALB / CloudFront CDN)",
        TRUE, "REPLATFORM / LIFT-AND-SHAPE"
    ),
    E26=4, _xlfn.IFS(
        A26="Software Lifecycle &amp; Maintainability", "REPURCHASE (Replace with Turnkey SaaS Product)",
        TRUE, "REHOST (LIFT &amp; SHIFT) (Direct VM Migration Ready)"
    ),
    TRUE, ""
)</f>
        <v>REHOST (LIFT &amp; SHIFT) (Direct VM Migration Ready)</v>
      </c>
      <c r="G26" s="15" t="s">
        <v>116</v>
      </c>
    </row>
    <row r="27" spans="1:8" ht="67.8" customHeight="1" x14ac:dyDescent="0.35">
      <c r="A27" s="2" t="s">
        <v>62</v>
      </c>
      <c r="B27" s="8" t="s">
        <v>65</v>
      </c>
      <c r="C27" s="6" t="s">
        <v>85</v>
      </c>
      <c r="D27" s="15" t="s">
        <v>7</v>
      </c>
      <c r="E27" s="18" cm="1">
        <f t="array" ref="E27">_xlfn.IFS(D27="A", 1, D27="B", 2, D27="C", 3, D27="D", 4, TRUE, 0)</f>
        <v>4</v>
      </c>
      <c r="F27" s="17" t="str" cm="1">
        <f t="array" ref="F27">_xlfn.IFS(
    E27=1, _xlfn.IFS(
        A27="Security, Identity &amp; Compliance", "RETAIN (Critical Legal/Sovereignty Roadblock)",
        A27="Compute &amp; Operating System Fit", "RETIRE / SCRAP (Obsolete Hardware/OS Profile)",
        TRUE, "RETAIN (Fatal System/Dependency Blocker)"
    ),
    E27=2, _xlfn.IFS(
        A27="Software Lifecycle &amp; Maintainability", "REFACTOR (Deep Code Rewrite Required)",
        A27="Compute &amp; Operating System Fit", "RELOCATE (Lift-to-Cloud VMware/Hypervisor Cluster)",
        TRUE, "REFACTOR / RE-ARCHITECT (High Migration Debt)"
    ),
    E27=3, _xlfn.IFS(
        A27="Data &amp; Storage Tier Compatibility", "REPLATFORM (Swap to Managed Cloud DB / Object Store)",
        A27="Networking, Integration &amp; Performance", "REPLATFORM (Swap to Cloud ALB / CloudFront CDN)",
        TRUE, "REPLATFORM / LIFT-AND-SHAPE"
    ),
    E27=4, _xlfn.IFS(
        A27="Software Lifecycle &amp; Maintainability", "REPURCHASE (Replace with Turnkey SaaS Product)",
        TRUE, "REHOST (LIFT &amp; SHIFT) (Direct VM Migration Ready)"
    ),
    TRUE, ""
)</f>
        <v>REHOST (LIFT &amp; SHIFT) (Direct VM Migration Ready)</v>
      </c>
      <c r="G27" s="15" t="s">
        <v>116</v>
      </c>
    </row>
    <row r="28" spans="1:8" ht="69" customHeight="1" x14ac:dyDescent="0.35">
      <c r="A28" s="3" t="s">
        <v>62</v>
      </c>
      <c r="B28" s="8" t="s">
        <v>66</v>
      </c>
      <c r="C28" s="6" t="s">
        <v>67</v>
      </c>
      <c r="D28" s="15" t="s">
        <v>4</v>
      </c>
      <c r="E28" s="18" cm="1">
        <f t="array" ref="E28">_xlfn.IFS(D28="A", 1, D28="B", 2, D28="C", 3, D28="D", 4, TRUE, 0)</f>
        <v>3</v>
      </c>
      <c r="F28" s="17" t="str" cm="1">
        <f t="array" ref="F28">_xlfn.IFS(
    E28=1, _xlfn.IFS(
        A28="Security, Identity &amp; Compliance", "RETAIN (Critical Legal/Sovereignty Roadblock)",
        A28="Compute &amp; Operating System Fit", "RETIRE / SCRAP (Obsolete Hardware/OS Profile)",
        TRUE, "RETAIN (Fatal System/Dependency Blocker)"
    ),
    E28=2, _xlfn.IFS(
        A28="Software Lifecycle &amp; Maintainability", "REFACTOR (Deep Code Rewrite Required)",
        A28="Compute &amp; Operating System Fit", "RELOCATE (Lift-to-Cloud VMware/Hypervisor Cluster)",
        TRUE, "REFACTOR / RE-ARCHITECT (High Migration Debt)"
    ),
    E28=3, _xlfn.IFS(
        A28="Data &amp; Storage Tier Compatibility", "REPLATFORM (Swap to Managed Cloud DB / Object Store)",
        A28="Networking, Integration &amp; Performance", "REPLATFORM (Swap to Cloud ALB / CloudFront CDN)",
        TRUE, "REPLATFORM / LIFT-AND-SHAPE"
    ),
    E28=4, _xlfn.IFS(
        A28="Software Lifecycle &amp; Maintainability", "REPURCHASE (Replace with Turnkey SaaS Product)",
        TRUE, "REHOST (LIFT &amp; SHIFT) (Direct VM Migration Ready)"
    ),
    TRUE, ""
)</f>
        <v>REPLATFORM / LIFT-AND-SHAPE</v>
      </c>
      <c r="G28" s="15" t="s">
        <v>116</v>
      </c>
    </row>
    <row r="29" spans="1:8" ht="61.8" customHeight="1" x14ac:dyDescent="0.35">
      <c r="A29" s="3" t="s">
        <v>62</v>
      </c>
      <c r="B29" s="8" t="s">
        <v>68</v>
      </c>
      <c r="C29" s="7" t="s">
        <v>69</v>
      </c>
      <c r="D29" s="15" t="s">
        <v>4</v>
      </c>
      <c r="E29" s="18" cm="1">
        <f t="array" ref="E29">_xlfn.IFS(D29="A", 1, D29="B", 2, D29="C", 3, D29="D", 4, TRUE, 0)</f>
        <v>3</v>
      </c>
      <c r="F29" s="17" t="str" cm="1">
        <f t="array" ref="F29">_xlfn.IFS(
    E29=1, _xlfn.IFS(
        A29="Security, Identity &amp; Compliance", "RETAIN (Critical Legal/Sovereignty Roadblock)",
        A29="Compute &amp; Operating System Fit", "RETIRE / SCRAP (Obsolete Hardware/OS Profile)",
        TRUE, "RETAIN (Fatal System/Dependency Blocker)"
    ),
    E29=2, _xlfn.IFS(
        A29="Software Lifecycle &amp; Maintainability", "REFACTOR (Deep Code Rewrite Required)",
        A29="Compute &amp; Operating System Fit", "RELOCATE (Lift-to-Cloud VMware/Hypervisor Cluster)",
        TRUE, "REFACTOR / RE-ARCHITECT (High Migration Debt)"
    ),
    E29=3, _xlfn.IFS(
        A29="Data &amp; Storage Tier Compatibility", "REPLATFORM (Swap to Managed Cloud DB / Object Store)",
        A29="Networking, Integration &amp; Performance", "REPLATFORM (Swap to Cloud ALB / CloudFront CDN)",
        TRUE, "REPLATFORM / LIFT-AND-SHAPE"
    ),
    E29=4, _xlfn.IFS(
        A29="Software Lifecycle &amp; Maintainability", "REPURCHASE (Replace with Turnkey SaaS Product)",
        TRUE, "REHOST (LIFT &amp; SHIFT) (Direct VM Migration Ready)"
    ),
    TRUE, ""
)</f>
        <v>REPLATFORM / LIFT-AND-SHAPE</v>
      </c>
      <c r="G29" s="15" t="s">
        <v>116</v>
      </c>
    </row>
    <row r="30" spans="1:8" ht="62.4" customHeight="1" x14ac:dyDescent="0.35">
      <c r="A30" s="3" t="s">
        <v>62</v>
      </c>
      <c r="B30" s="8" t="s">
        <v>70</v>
      </c>
      <c r="C30" s="7" t="s">
        <v>71</v>
      </c>
      <c r="D30" s="15" t="s">
        <v>6</v>
      </c>
      <c r="E30" s="18" cm="1">
        <f t="array" ref="E30">_xlfn.IFS(D30="A", 1, D30="B", 2, D30="C", 3, D30="D", 4, TRUE, 0)</f>
        <v>2</v>
      </c>
      <c r="F30" s="17" t="str" cm="1">
        <f t="array" ref="F30">_xlfn.IFS(
    E30=1, _xlfn.IFS(
        A30="Security, Identity &amp; Compliance", "RETAIN (Critical Legal/Sovereignty Roadblock)",
        A30="Compute &amp; Operating System Fit", "RETIRE / SCRAP (Obsolete Hardware/OS Profile)",
        TRUE, "RETAIN (Fatal System/Dependency Blocker)"
    ),
    E30=2, _xlfn.IFS(
        A30="Software Lifecycle &amp; Maintainability", "REFACTOR (Deep Code Rewrite Required)",
        A30="Compute &amp; Operating System Fit", "RELOCATE (Lift-to-Cloud VMware/Hypervisor Cluster)",
        TRUE, "REFACTOR / RE-ARCHITECT (High Migration Debt)"
    ),
    E30=3, _xlfn.IFS(
        A30="Data &amp; Storage Tier Compatibility", "REPLATFORM (Swap to Managed Cloud DB / Object Store)",
        A30="Networking, Integration &amp; Performance", "REPLATFORM (Swap to Cloud ALB / CloudFront CDN)",
        TRUE, "REPLATFORM / LIFT-AND-SHAPE"
    ),
    E30=4, _xlfn.IFS(
        A30="Software Lifecycle &amp; Maintainability", "REPURCHASE (Replace with Turnkey SaaS Product)",
        TRUE, "REHOST (LIFT &amp; SHIFT) (Direct VM Migration Ready)"
    ),
    TRUE, ""
)</f>
        <v>REFACTOR / RE-ARCHITECT (High Migration Debt)</v>
      </c>
      <c r="G30" s="15" t="s">
        <v>116</v>
      </c>
    </row>
    <row r="31" spans="1:8" ht="69" customHeight="1" x14ac:dyDescent="0.35">
      <c r="A31" s="3" t="s">
        <v>62</v>
      </c>
      <c r="B31" s="8" t="s">
        <v>72</v>
      </c>
      <c r="C31" s="7" t="s">
        <v>73</v>
      </c>
      <c r="D31" s="15" t="s">
        <v>6</v>
      </c>
      <c r="E31" s="18" cm="1">
        <f t="array" ref="E31">_xlfn.IFS(D31="A", 1, D31="B", 2, D31="C", 3, D31="D", 4, TRUE, 0)</f>
        <v>2</v>
      </c>
      <c r="F31" s="17" t="str" cm="1">
        <f t="array" ref="F31">_xlfn.IFS(
    E31=1, _xlfn.IFS(
        A31="Security, Identity &amp; Compliance", "RETAIN (Critical Legal/Sovereignty Roadblock)",
        A31="Compute &amp; Operating System Fit", "RETIRE / SCRAP (Obsolete Hardware/OS Profile)",
        TRUE, "RETAIN (Fatal System/Dependency Blocker)"
    ),
    E31=2, _xlfn.IFS(
        A31="Software Lifecycle &amp; Maintainability", "REFACTOR (Deep Code Rewrite Required)",
        A31="Compute &amp; Operating System Fit", "RELOCATE (Lift-to-Cloud VMware/Hypervisor Cluster)",
        TRUE, "REFACTOR / RE-ARCHITECT (High Migration Debt)"
    ),
    E31=3, _xlfn.IFS(
        A31="Data &amp; Storage Tier Compatibility", "REPLATFORM (Swap to Managed Cloud DB / Object Store)",
        A31="Networking, Integration &amp; Performance", "REPLATFORM (Swap to Cloud ALB / CloudFront CDN)",
        TRUE, "REPLATFORM / LIFT-AND-SHAPE"
    ),
    E31=4, _xlfn.IFS(
        A31="Software Lifecycle &amp; Maintainability", "REPURCHASE (Replace with Turnkey SaaS Product)",
        TRUE, "REHOST (LIFT &amp; SHIFT) (Direct VM Migration Ready)"
    ),
    TRUE, ""
)</f>
        <v>REFACTOR / RE-ARCHITECT (High Migration Debt)</v>
      </c>
      <c r="G31" s="15" t="s">
        <v>116</v>
      </c>
    </row>
    <row r="32" spans="1:8" ht="73.2" customHeight="1" x14ac:dyDescent="0.35">
      <c r="A32" s="2" t="s">
        <v>62</v>
      </c>
      <c r="B32" s="8" t="s">
        <v>74</v>
      </c>
      <c r="C32" s="7" t="s">
        <v>75</v>
      </c>
      <c r="D32" s="15" t="s">
        <v>6</v>
      </c>
      <c r="E32" s="18" cm="1">
        <f t="array" ref="E32">_xlfn.IFS(D32="A", 1, D32="B", 2, D32="C", 3, D32="D", 4, TRUE, 0)</f>
        <v>2</v>
      </c>
      <c r="F32" s="17" t="str" cm="1">
        <f t="array" ref="F32">_xlfn.IFS(
    E32=1, _xlfn.IFS(
        A32="Security, Identity &amp; Compliance", "RETAIN (Critical Legal/Sovereignty Roadblock)",
        A32="Compute &amp; Operating System Fit", "RETIRE / SCRAP (Obsolete Hardware/OS Profile)",
        TRUE, "RETAIN (Fatal System/Dependency Blocker)"
    ),
    E32=2, _xlfn.IFS(
        A32="Software Lifecycle &amp; Maintainability", "REFACTOR (Deep Code Rewrite Required)",
        A32="Compute &amp; Operating System Fit", "RELOCATE (Lift-to-Cloud VMware/Hypervisor Cluster)",
        TRUE, "REFACTOR / RE-ARCHITECT (High Migration Debt)"
    ),
    E32=3, _xlfn.IFS(
        A32="Data &amp; Storage Tier Compatibility", "REPLATFORM (Swap to Managed Cloud DB / Object Store)",
        A32="Networking, Integration &amp; Performance", "REPLATFORM (Swap to Cloud ALB / CloudFront CDN)",
        TRUE, "REPLATFORM / LIFT-AND-SHAPE"
    ),
    E32=4, _xlfn.IFS(
        A32="Software Lifecycle &amp; Maintainability", "REPURCHASE (Replace with Turnkey SaaS Product)",
        TRUE, "REHOST (LIFT &amp; SHIFT) (Direct VM Migration Ready)"
    ),
    TRUE, ""
)</f>
        <v>REFACTOR / RE-ARCHITECT (High Migration Debt)</v>
      </c>
      <c r="G32" s="15" t="s">
        <v>116</v>
      </c>
    </row>
    <row r="33" spans="1:7" ht="62.4" customHeight="1" x14ac:dyDescent="0.35">
      <c r="A33" s="2" t="s">
        <v>62</v>
      </c>
      <c r="B33" s="8" t="s">
        <v>76</v>
      </c>
      <c r="C33" s="7" t="s">
        <v>77</v>
      </c>
      <c r="D33" s="15" t="s">
        <v>6</v>
      </c>
      <c r="E33" s="18" cm="1">
        <f t="array" ref="E33">_xlfn.IFS(D33="A", 1, D33="B", 2, D33="C", 3, D33="D", 4, TRUE, 0)</f>
        <v>2</v>
      </c>
      <c r="F33" s="17" t="str" cm="1">
        <f t="array" ref="F33">_xlfn.IFS(
    E33=1, _xlfn.IFS(
        A33="Security, Identity &amp; Compliance", "RETAIN (Critical Legal/Sovereignty Roadblock)",
        A33="Compute &amp; Operating System Fit", "RETIRE / SCRAP (Obsolete Hardware/OS Profile)",
        TRUE, "RETAIN (Fatal System/Dependency Blocker)"
    ),
    E33=2, _xlfn.IFS(
        A33="Software Lifecycle &amp; Maintainability", "REFACTOR (Deep Code Rewrite Required)",
        A33="Compute &amp; Operating System Fit", "RELOCATE (Lift-to-Cloud VMware/Hypervisor Cluster)",
        TRUE, "REFACTOR / RE-ARCHITECT (High Migration Debt)"
    ),
    E33=3, _xlfn.IFS(
        A33="Data &amp; Storage Tier Compatibility", "REPLATFORM (Swap to Managed Cloud DB / Object Store)",
        A33="Networking, Integration &amp; Performance", "REPLATFORM (Swap to Cloud ALB / CloudFront CDN)",
        TRUE, "REPLATFORM / LIFT-AND-SHAPE"
    ),
    E33=4, _xlfn.IFS(
        A33="Software Lifecycle &amp; Maintainability", "REPURCHASE (Replace with Turnkey SaaS Product)",
        TRUE, "REHOST (LIFT &amp; SHIFT) (Direct VM Migration Ready)"
    ),
    TRUE, ""
)</f>
        <v>REFACTOR / RE-ARCHITECT (High Migration Debt)</v>
      </c>
      <c r="G33" s="15" t="s">
        <v>116</v>
      </c>
    </row>
    <row r="34" spans="1:7" ht="73.8" customHeight="1" x14ac:dyDescent="0.35">
      <c r="A34" s="2" t="s">
        <v>78</v>
      </c>
      <c r="B34" s="8" t="s">
        <v>79</v>
      </c>
      <c r="C34" s="7" t="s">
        <v>80</v>
      </c>
      <c r="D34" s="15" t="s">
        <v>7</v>
      </c>
      <c r="E34" s="18" cm="1">
        <f t="array" ref="E34">_xlfn.IFS(D34="A", 1, D34="B", 2, D34="C", 3, D34="D", 4, TRUE, 0)</f>
        <v>4</v>
      </c>
      <c r="F34" s="17" t="str" cm="1">
        <f t="array" ref="F34">_xlfn.IFS(
    E34=1, _xlfn.IFS(
        A34="Security, Identity &amp; Compliance", "RETAIN (Critical Legal/Sovereignty Roadblock)",
        A34="Compute &amp; Operating System Fit", "RETIRE / SCRAP (Obsolete Hardware/OS Profile)",
        TRUE, "RETAIN (Fatal System/Dependency Blocker)"
    ),
    E34=2, _xlfn.IFS(
        A34="Software Lifecycle &amp; Maintainability", "REFACTOR (Deep Code Rewrite Required)",
        A34="Compute &amp; Operating System Fit", "RELOCATE (Lift-to-Cloud VMware/Hypervisor Cluster)",
        TRUE, "REFACTOR / RE-ARCHITECT (High Migration Debt)"
    ),
    E34=3, _xlfn.IFS(
        A34="Data &amp; Storage Tier Compatibility", "REPLATFORM (Swap to Managed Cloud DB / Object Store)",
        A34="Networking, Integration &amp; Performance", "REPLATFORM (Swap to Cloud ALB / CloudFront CDN)",
        TRUE, "REPLATFORM / LIFT-AND-SHAPE"
    ),
    E34=4, _xlfn.IFS(
        A34="Software Lifecycle &amp; Maintainability", "REPURCHASE (Replace with Turnkey SaaS Product)",
        TRUE, "REHOST (LIFT &amp; SHIFT) (Direct VM Migration Ready)"
    ),
    TRUE, ""
)</f>
        <v>REHOST (LIFT &amp; SHIFT) (Direct VM Migration Ready)</v>
      </c>
      <c r="G34" s="15" t="s">
        <v>116</v>
      </c>
    </row>
    <row r="35" spans="1:7" ht="63.6" customHeight="1" x14ac:dyDescent="0.35">
      <c r="A35" s="2" t="s">
        <v>78</v>
      </c>
      <c r="B35" s="8" t="s">
        <v>81</v>
      </c>
      <c r="C35" s="7" t="s">
        <v>82</v>
      </c>
      <c r="D35" s="15" t="s">
        <v>7</v>
      </c>
      <c r="E35" s="18" cm="1">
        <f t="array" ref="E35">_xlfn.IFS(D35="A", 1, D35="B", 2, D35="C", 3, D35="D", 4, TRUE, 0)</f>
        <v>4</v>
      </c>
      <c r="F35" s="17" t="str" cm="1">
        <f t="array" ref="F35">_xlfn.IFS(
    E35=1, _xlfn.IFS(
        A35="Security, Identity &amp; Compliance", "RETAIN (Critical Legal/Sovereignty Roadblock)",
        A35="Compute &amp; Operating System Fit", "RETIRE / SCRAP (Obsolete Hardware/OS Profile)",
        TRUE, "RETAIN (Fatal System/Dependency Blocker)"
    ),
    E35=2, _xlfn.IFS(
        A35="Software Lifecycle &amp; Maintainability", "REFACTOR (Deep Code Rewrite Required)",
        A35="Compute &amp; Operating System Fit", "RELOCATE (Lift-to-Cloud VMware/Hypervisor Cluster)",
        TRUE, "REFACTOR / RE-ARCHITECT (High Migration Debt)"
    ),
    E35=3, _xlfn.IFS(
        A35="Data &amp; Storage Tier Compatibility", "REPLATFORM (Swap to Managed Cloud DB / Object Store)",
        A35="Networking, Integration &amp; Performance", "REPLATFORM (Swap to Cloud ALB / CloudFront CDN)",
        TRUE, "REPLATFORM / LIFT-AND-SHAPE"
    ),
    E35=4, _xlfn.IFS(
        A35="Software Lifecycle &amp; Maintainability", "REPURCHASE (Replace with Turnkey SaaS Product)",
        TRUE, "REHOST (LIFT &amp; SHIFT) (Direct VM Migration Ready)"
    ),
    TRUE, ""
)</f>
        <v>REHOST (LIFT &amp; SHIFT) (Direct VM Migration Ready)</v>
      </c>
      <c r="G35" s="15" t="s">
        <v>116</v>
      </c>
    </row>
    <row r="36" spans="1:7" ht="60.6" customHeight="1" x14ac:dyDescent="0.35">
      <c r="A36" s="2" t="s">
        <v>78</v>
      </c>
      <c r="B36" s="8" t="s">
        <v>83</v>
      </c>
      <c r="C36" s="7" t="s">
        <v>84</v>
      </c>
      <c r="D36" s="15" t="s">
        <v>4</v>
      </c>
      <c r="E36" s="18" cm="1">
        <f t="array" ref="E36">_xlfn.IFS(D36="A", 1, D36="B", 2, D36="C", 3, D36="D", 4, TRUE, 0)</f>
        <v>3</v>
      </c>
      <c r="F36" s="17" t="str" cm="1">
        <f t="array" ref="F36">_xlfn.IFS(
    E36=1, _xlfn.IFS(
        A36="Security, Identity &amp; Compliance", "RETAIN (Critical Legal/Sovereignty Roadblock)",
        A36="Compute &amp; Operating System Fit", "RETIRE / SCRAP (Obsolete Hardware/OS Profile)",
        TRUE, "RETAIN (Fatal System/Dependency Blocker)"
    ),
    E36=2, _xlfn.IFS(
        A36="Software Lifecycle &amp; Maintainability", "REFACTOR (Deep Code Rewrite Required)",
        A36="Compute &amp; Operating System Fit", "RELOCATE (Lift-to-Cloud VMware/Hypervisor Cluster)",
        TRUE, "REFACTOR / RE-ARCHITECT (High Migration Debt)"
    ),
    E36=3, _xlfn.IFS(
        A36="Data &amp; Storage Tier Compatibility", "REPLATFORM (Swap to Managed Cloud DB / Object Store)",
        A36="Networking, Integration &amp; Performance", "REPLATFORM (Swap to Cloud ALB / CloudFront CDN)",
        TRUE, "REPLATFORM / LIFT-AND-SHAPE"
    ),
    E36=4, _xlfn.IFS(
        A36="Software Lifecycle &amp; Maintainability", "REPURCHASE (Replace with Turnkey SaaS Product)",
        TRUE, "REHOST (LIFT &amp; SHIFT) (Direct VM Migration Ready)"
    ),
    TRUE, ""
)</f>
        <v>REPLATFORM / LIFT-AND-SHAPE</v>
      </c>
      <c r="G36" s="15" t="s">
        <v>116</v>
      </c>
    </row>
    <row r="37" spans="1:7" ht="61.8" customHeight="1" x14ac:dyDescent="0.35">
      <c r="A37" s="2" t="s">
        <v>78</v>
      </c>
      <c r="B37" s="8" t="s">
        <v>86</v>
      </c>
      <c r="C37" s="7" t="s">
        <v>87</v>
      </c>
      <c r="D37" s="15" t="s">
        <v>7</v>
      </c>
      <c r="E37" s="18" cm="1">
        <f t="array" ref="E37">_xlfn.IFS(D37="A", 1, D37="B", 2, D37="C", 3, D37="D", 4, TRUE, 0)</f>
        <v>4</v>
      </c>
      <c r="F37" s="17" t="str" cm="1">
        <f t="array" ref="F37">_xlfn.IFS(
    E37=1, _xlfn.IFS(
        A37="Security, Identity &amp; Compliance", "RETAIN (Critical Legal/Sovereignty Roadblock)",
        A37="Compute &amp; Operating System Fit", "RETIRE / SCRAP (Obsolete Hardware/OS Profile)",
        TRUE, "RETAIN (Fatal System/Dependency Blocker)"
    ),
    E37=2, _xlfn.IFS(
        A37="Software Lifecycle &amp; Maintainability", "REFACTOR (Deep Code Rewrite Required)",
        A37="Compute &amp; Operating System Fit", "RELOCATE (Lift-to-Cloud VMware/Hypervisor Cluster)",
        TRUE, "REFACTOR / RE-ARCHITECT (High Migration Debt)"
    ),
    E37=3, _xlfn.IFS(
        A37="Data &amp; Storage Tier Compatibility", "REPLATFORM (Swap to Managed Cloud DB / Object Store)",
        A37="Networking, Integration &amp; Performance", "REPLATFORM (Swap to Cloud ALB / CloudFront CDN)",
        TRUE, "REPLATFORM / LIFT-AND-SHAPE"
    ),
    E37=4, _xlfn.IFS(
        A37="Software Lifecycle &amp; Maintainability", "REPURCHASE (Replace with Turnkey SaaS Product)",
        TRUE, "REHOST (LIFT &amp; SHIFT) (Direct VM Migration Ready)"
    ),
    TRUE, ""
)</f>
        <v>REHOST (LIFT &amp; SHIFT) (Direct VM Migration Ready)</v>
      </c>
      <c r="G37" s="15" t="s">
        <v>116</v>
      </c>
    </row>
    <row r="38" spans="1:7" ht="63" customHeight="1" x14ac:dyDescent="0.35">
      <c r="A38" s="2" t="s">
        <v>78</v>
      </c>
      <c r="B38" s="8" t="s">
        <v>88</v>
      </c>
      <c r="C38" s="7" t="s">
        <v>89</v>
      </c>
      <c r="D38" s="15" t="s">
        <v>7</v>
      </c>
      <c r="E38" s="18" cm="1">
        <f t="array" ref="E38">_xlfn.IFS(D38="A", 1, D38="B", 2, D38="C", 3, D38="D", 4, TRUE, 0)</f>
        <v>4</v>
      </c>
      <c r="F38" s="17" t="str" cm="1">
        <f t="array" ref="F38">_xlfn.IFS(
    E38=1, _xlfn.IFS(
        A38="Security, Identity &amp; Compliance", "RETAIN (Critical Legal/Sovereignty Roadblock)",
        A38="Compute &amp; Operating System Fit", "RETIRE / SCRAP (Obsolete Hardware/OS Profile)",
        TRUE, "RETAIN (Fatal System/Dependency Blocker)"
    ),
    E38=2, _xlfn.IFS(
        A38="Software Lifecycle &amp; Maintainability", "REFACTOR (Deep Code Rewrite Required)",
        A38="Compute &amp; Operating System Fit", "RELOCATE (Lift-to-Cloud VMware/Hypervisor Cluster)",
        TRUE, "REFACTOR / RE-ARCHITECT (High Migration Debt)"
    ),
    E38=3, _xlfn.IFS(
        A38="Data &amp; Storage Tier Compatibility", "REPLATFORM (Swap to Managed Cloud DB / Object Store)",
        A38="Networking, Integration &amp; Performance", "REPLATFORM (Swap to Cloud ALB / CloudFront CDN)",
        TRUE, "REPLATFORM / LIFT-AND-SHAPE"
    ),
    E38=4, _xlfn.IFS(
        A38="Software Lifecycle &amp; Maintainability", "REPURCHASE (Replace with Turnkey SaaS Product)",
        TRUE, "REHOST (LIFT &amp; SHIFT) (Direct VM Migration Ready)"
    ),
    TRUE, ""
)</f>
        <v>REHOST (LIFT &amp; SHIFT) (Direct VM Migration Ready)</v>
      </c>
      <c r="G38" s="15" t="s">
        <v>116</v>
      </c>
    </row>
    <row r="39" spans="1:7" ht="66" customHeight="1" x14ac:dyDescent="0.35">
      <c r="A39" s="2" t="s">
        <v>78</v>
      </c>
      <c r="B39" s="8" t="s">
        <v>90</v>
      </c>
      <c r="C39" s="7" t="s">
        <v>91</v>
      </c>
      <c r="D39" s="15" t="s">
        <v>6</v>
      </c>
      <c r="E39" s="18" cm="1">
        <f t="array" ref="E39">_xlfn.IFS(D39="A", 1, D39="B", 2, D39="C", 3, D39="D", 4, TRUE, 0)</f>
        <v>2</v>
      </c>
      <c r="F39" s="17" t="str" cm="1">
        <f t="array" ref="F39">_xlfn.IFS(
    E39=1, _xlfn.IFS(
        A39="Security, Identity &amp; Compliance", "RETAIN (Critical Legal/Sovereignty Roadblock)",
        A39="Compute &amp; Operating System Fit", "RETIRE / SCRAP (Obsolete Hardware/OS Profile)",
        TRUE, "RETAIN (Fatal System/Dependency Blocker)"
    ),
    E39=2, _xlfn.IFS(
        A39="Software Lifecycle &amp; Maintainability", "REFACTOR (Deep Code Rewrite Required)",
        A39="Compute &amp; Operating System Fit", "RELOCATE (Lift-to-Cloud VMware/Hypervisor Cluster)",
        TRUE, "REFACTOR / RE-ARCHITECT (High Migration Debt)"
    ),
    E39=3, _xlfn.IFS(
        A39="Data &amp; Storage Tier Compatibility", "REPLATFORM (Swap to Managed Cloud DB / Object Store)",
        A39="Networking, Integration &amp; Performance", "REPLATFORM (Swap to Cloud ALB / CloudFront CDN)",
        TRUE, "REPLATFORM / LIFT-AND-SHAPE"
    ),
    E39=4, _xlfn.IFS(
        A39="Software Lifecycle &amp; Maintainability", "REPURCHASE (Replace with Turnkey SaaS Product)",
        TRUE, "REHOST (LIFT &amp; SHIFT) (Direct VM Migration Ready)"
    ),
    TRUE, ""
)</f>
        <v>REFACTOR / RE-ARCHITECT (High Migration Debt)</v>
      </c>
      <c r="G39" s="15" t="s">
        <v>116</v>
      </c>
    </row>
    <row r="40" spans="1:7" ht="64.8" customHeight="1" x14ac:dyDescent="0.35">
      <c r="A40" s="2" t="s">
        <v>78</v>
      </c>
      <c r="B40" s="8" t="s">
        <v>92</v>
      </c>
      <c r="C40" s="7" t="s">
        <v>93</v>
      </c>
      <c r="D40" s="15" t="s">
        <v>6</v>
      </c>
      <c r="E40" s="18" cm="1">
        <f t="array" ref="E40">_xlfn.IFS(D40="A", 1, D40="B", 2, D40="C", 3, D40="D", 4, TRUE, 0)</f>
        <v>2</v>
      </c>
      <c r="F40" s="17" t="str" cm="1">
        <f t="array" ref="F40">_xlfn.IFS(
    E40=1, _xlfn.IFS(
        A40="Security, Identity &amp; Compliance", "RETAIN (Critical Legal/Sovereignty Roadblock)",
        A40="Compute &amp; Operating System Fit", "RETIRE / SCRAP (Obsolete Hardware/OS Profile)",
        TRUE, "RETAIN (Fatal System/Dependency Blocker)"
    ),
    E40=2, _xlfn.IFS(
        A40="Software Lifecycle &amp; Maintainability", "REFACTOR (Deep Code Rewrite Required)",
        A40="Compute &amp; Operating System Fit", "RELOCATE (Lift-to-Cloud VMware/Hypervisor Cluster)",
        TRUE, "REFACTOR / RE-ARCHITECT (High Migration Debt)"
    ),
    E40=3, _xlfn.IFS(
        A40="Data &amp; Storage Tier Compatibility", "REPLATFORM (Swap to Managed Cloud DB / Object Store)",
        A40="Networking, Integration &amp; Performance", "REPLATFORM (Swap to Cloud ALB / CloudFront CDN)",
        TRUE, "REPLATFORM / LIFT-AND-SHAPE"
    ),
    E40=4, _xlfn.IFS(
        A40="Software Lifecycle &amp; Maintainability", "REPURCHASE (Replace with Turnkey SaaS Product)",
        TRUE, "REHOST (LIFT &amp; SHIFT) (Direct VM Migration Ready)"
    ),
    TRUE, ""
)</f>
        <v>REFACTOR / RE-ARCHITECT (High Migration Debt)</v>
      </c>
      <c r="G40" s="15" t="s">
        <v>116</v>
      </c>
    </row>
    <row r="41" spans="1:7" ht="67.2" customHeight="1" x14ac:dyDescent="0.35">
      <c r="A41" s="2" t="s">
        <v>78</v>
      </c>
      <c r="B41" s="8" t="s">
        <v>94</v>
      </c>
      <c r="C41" s="7" t="s">
        <v>95</v>
      </c>
      <c r="D41" s="15" t="s">
        <v>6</v>
      </c>
      <c r="E41" s="18" cm="1">
        <f t="array" ref="E41">_xlfn.IFS(D41="A", 1, D41="B", 2, D41="C", 3, D41="D", 4, TRUE, 0)</f>
        <v>2</v>
      </c>
      <c r="F41" s="17" t="str" cm="1">
        <f t="array" ref="F41">_xlfn.IFS(
    E41=1, _xlfn.IFS(
        A41="Security, Identity &amp; Compliance", "RETAIN (Critical Legal/Sovereignty Roadblock)",
        A41="Compute &amp; Operating System Fit", "RETIRE / SCRAP (Obsolete Hardware/OS Profile)",
        TRUE, "RETAIN (Fatal System/Dependency Blocker)"
    ),
    E41=2, _xlfn.IFS(
        A41="Software Lifecycle &amp; Maintainability", "REFACTOR (Deep Code Rewrite Required)",
        A41="Compute &amp; Operating System Fit", "RELOCATE (Lift-to-Cloud VMware/Hypervisor Cluster)",
        TRUE, "REFACTOR / RE-ARCHITECT (High Migration Debt)"
    ),
    E41=3, _xlfn.IFS(
        A41="Data &amp; Storage Tier Compatibility", "REPLATFORM (Swap to Managed Cloud DB / Object Store)",
        A41="Networking, Integration &amp; Performance", "REPLATFORM (Swap to Cloud ALB / CloudFront CDN)",
        TRUE, "REPLATFORM / LIFT-AND-SHAPE"
    ),
    E41=4, _xlfn.IFS(
        A41="Software Lifecycle &amp; Maintainability", "REPURCHASE (Replace with Turnkey SaaS Product)",
        TRUE, "REHOST (LIFT &amp; SHIFT) (Direct VM Migration Ready)"
    ),
    TRUE, ""
)</f>
        <v>REFACTOR / RE-ARCHITECT (High Migration Debt)</v>
      </c>
      <c r="G41" s="15" t="s">
        <v>116</v>
      </c>
    </row>
    <row r="42" spans="1:7" ht="110.4" customHeight="1" x14ac:dyDescent="0.35">
      <c r="A42" s="2" t="s">
        <v>96</v>
      </c>
      <c r="B42" s="10" t="s">
        <v>97</v>
      </c>
      <c r="C42" s="7" t="s">
        <v>98</v>
      </c>
      <c r="D42" s="15" t="s">
        <v>6</v>
      </c>
      <c r="E42" s="18" cm="1">
        <f t="array" ref="E42">_xlfn.IFS(D42="A", 1, D42="B", 2, D42="C", 3, D42="D", 4, TRUE, 0)</f>
        <v>2</v>
      </c>
      <c r="F42" s="17" t="str" cm="1">
        <f t="array" ref="F42">_xlfn.IFS(
    E42=1, _xlfn.IFS(
        A42="Security, Identity &amp; Compliance", "RETAIN (Critical Legal/Sovereignty Roadblock)",
        A42="Compute &amp; Operating System Fit", "RETIRE / SCRAP (Obsolete Hardware/OS Profile)",
        TRUE, "RETAIN (Fatal System/Dependency Blocker)"
    ),
    E42=2, _xlfn.IFS(
        A42="Software Lifecycle &amp; Maintainability", "REFACTOR (Deep Code Rewrite Required)",
        A42="Compute &amp; Operating System Fit", "RELOCATE (Lift-to-Cloud VMware/Hypervisor Cluster)",
        TRUE, "REFACTOR / RE-ARCHITECT (High Migration Debt)"
    ),
    E42=3, _xlfn.IFS(
        A42="Data &amp; Storage Tier Compatibility", "REPLATFORM (Swap to Managed Cloud DB / Object Store)",
        A42="Networking, Integration &amp; Performance", "REPLATFORM (Swap to Cloud ALB / CloudFront CDN)",
        TRUE, "REPLATFORM / LIFT-AND-SHAPE"
    ),
    E42=4, _xlfn.IFS(
        A42="Software Lifecycle &amp; Maintainability", "REPURCHASE (Replace with Turnkey SaaS Product)",
        TRUE, "REHOST (LIFT &amp; SHIFT) (Direct VM Migration Ready)"
    ),
    TRUE, ""
)</f>
        <v>REFACTOR / RE-ARCHITECT (High Migration Debt)</v>
      </c>
      <c r="G42" s="15" t="s">
        <v>116</v>
      </c>
    </row>
    <row r="43" spans="1:7" ht="123" customHeight="1" x14ac:dyDescent="0.35">
      <c r="A43" s="2" t="s">
        <v>96</v>
      </c>
      <c r="B43" s="10" t="s">
        <v>99</v>
      </c>
      <c r="C43" s="7" t="s">
        <v>100</v>
      </c>
      <c r="D43" s="15" t="s">
        <v>6</v>
      </c>
      <c r="E43" s="18" cm="1">
        <f t="array" ref="E43">_xlfn.IFS(D43="A", 1, D43="B", 2, D43="C", 3, D43="D", 4, TRUE, 0)</f>
        <v>2</v>
      </c>
      <c r="F43" s="17" t="str" cm="1">
        <f t="array" ref="F43">_xlfn.IFS(
    E43=1, _xlfn.IFS(
        A43="Security, Identity &amp; Compliance", "RETAIN (Critical Legal/Sovereignty Roadblock)",
        A43="Compute &amp; Operating System Fit", "RETIRE / SCRAP (Obsolete Hardware/OS Profile)",
        TRUE, "RETAIN (Fatal System/Dependency Blocker)"
    ),
    E43=2, _xlfn.IFS(
        A43="Software Lifecycle &amp; Maintainability", "REFACTOR (Deep Code Rewrite Required)",
        A43="Compute &amp; Operating System Fit", "RELOCATE (Lift-to-Cloud VMware/Hypervisor Cluster)",
        TRUE, "REFACTOR / RE-ARCHITECT (High Migration Debt)"
    ),
    E43=3, _xlfn.IFS(
        A43="Data &amp; Storage Tier Compatibility", "REPLATFORM (Swap to Managed Cloud DB / Object Store)",
        A43="Networking, Integration &amp; Performance", "REPLATFORM (Swap to Cloud ALB / CloudFront CDN)",
        TRUE, "REPLATFORM / LIFT-AND-SHAPE"
    ),
    E43=4, _xlfn.IFS(
        A43="Software Lifecycle &amp; Maintainability", "REPURCHASE (Replace with Turnkey SaaS Product)",
        TRUE, "REHOST (LIFT &amp; SHIFT) (Direct VM Migration Ready)"
    ),
    TRUE, ""
)</f>
        <v>REFACTOR / RE-ARCHITECT (High Migration Debt)</v>
      </c>
      <c r="G43" s="15" t="s">
        <v>116</v>
      </c>
    </row>
    <row r="44" spans="1:7" ht="110.4" customHeight="1" x14ac:dyDescent="0.35">
      <c r="A44" s="2" t="s">
        <v>96</v>
      </c>
      <c r="B44" s="10" t="s">
        <v>103</v>
      </c>
      <c r="C44" s="7" t="s">
        <v>104</v>
      </c>
      <c r="D44" s="15" t="s">
        <v>6</v>
      </c>
      <c r="E44" s="18" cm="1">
        <f t="array" ref="E44">_xlfn.IFS(D44="A", 1, D44="B", 2, D44="C", 3, D44="D", 4, TRUE, 0)</f>
        <v>2</v>
      </c>
      <c r="F44" s="17" t="str" cm="1">
        <f t="array" ref="F44">_xlfn.IFS(
    E44=1, _xlfn.IFS(
        A44="Security, Identity &amp; Compliance", "RETAIN (Critical Legal/Sovereignty Roadblock)",
        A44="Compute &amp; Operating System Fit", "RETIRE / SCRAP (Obsolete Hardware/OS Profile)",
        TRUE, "RETAIN (Fatal System/Dependency Blocker)"
    ),
    E44=2, _xlfn.IFS(
        A44="Software Lifecycle &amp; Maintainability", "REFACTOR (Deep Code Rewrite Required)",
        A44="Compute &amp; Operating System Fit", "RELOCATE (Lift-to-Cloud VMware/Hypervisor Cluster)",
        TRUE, "REFACTOR / RE-ARCHITECT (High Migration Debt)"
    ),
    E44=3, _xlfn.IFS(
        A44="Data &amp; Storage Tier Compatibility", "REPLATFORM (Swap to Managed Cloud DB / Object Store)",
        A44="Networking, Integration &amp; Performance", "REPLATFORM (Swap to Cloud ALB / CloudFront CDN)",
        TRUE, "REPLATFORM / LIFT-AND-SHAPE"
    ),
    E44=4, _xlfn.IFS(
        A44="Software Lifecycle &amp; Maintainability", "REPURCHASE (Replace with Turnkey SaaS Product)",
        TRUE, "REHOST (LIFT &amp; SHIFT) (Direct VM Migration Ready)"
    ),
    TRUE, ""
)</f>
        <v>REFACTOR / RE-ARCHITECT (High Migration Debt)</v>
      </c>
      <c r="G44" s="15" t="s">
        <v>116</v>
      </c>
    </row>
    <row r="45" spans="1:7" ht="126" customHeight="1" x14ac:dyDescent="0.35">
      <c r="A45" s="2" t="s">
        <v>96</v>
      </c>
      <c r="B45" s="10" t="s">
        <v>101</v>
      </c>
      <c r="C45" s="7" t="s">
        <v>102</v>
      </c>
      <c r="D45" s="15" t="s">
        <v>4</v>
      </c>
      <c r="E45" s="18" cm="1">
        <f t="array" ref="E45">_xlfn.IFS(D45="A", 1, D45="B", 2, D45="C", 3, D45="D", 4, TRUE, 0)</f>
        <v>3</v>
      </c>
      <c r="F45" s="17" t="str" cm="1">
        <f t="array" ref="F45">_xlfn.IFS(
    E45=1, _xlfn.IFS(
        A45="Security, Identity &amp; Compliance", "RETAIN (Critical Legal/Sovereignty Roadblock)",
        A45="Compute &amp; Operating System Fit", "RETIRE / SCRAP (Obsolete Hardware/OS Profile)",
        TRUE, "RETAIN (Fatal System/Dependency Blocker)"
    ),
    E45=2, _xlfn.IFS(
        A45="Software Lifecycle &amp; Maintainability", "REFACTOR (Deep Code Rewrite Required)",
        A45="Compute &amp; Operating System Fit", "RELOCATE (Lift-to-Cloud VMware/Hypervisor Cluster)",
        TRUE, "REFACTOR / RE-ARCHITECT (High Migration Debt)"
    ),
    E45=3, _xlfn.IFS(
        A45="Data &amp; Storage Tier Compatibility", "REPLATFORM (Swap to Managed Cloud DB / Object Store)",
        A45="Networking, Integration &amp; Performance", "REPLATFORM (Swap to Cloud ALB / CloudFront CDN)",
        TRUE, "REPLATFORM / LIFT-AND-SHAPE"
    ),
    E45=4, _xlfn.IFS(
        A45="Software Lifecycle &amp; Maintainability", "REPURCHASE (Replace with Turnkey SaaS Product)",
        TRUE, "REHOST (LIFT &amp; SHIFT) (Direct VM Migration Ready)"
    ),
    TRUE, ""
)</f>
        <v>REPLATFORM / LIFT-AND-SHAPE</v>
      </c>
      <c r="G45" s="15" t="s">
        <v>116</v>
      </c>
    </row>
    <row r="46" spans="1:7" ht="111" x14ac:dyDescent="0.35">
      <c r="A46" s="2" t="s">
        <v>96</v>
      </c>
      <c r="B46" s="10" t="s">
        <v>105</v>
      </c>
      <c r="C46" s="7" t="s">
        <v>106</v>
      </c>
      <c r="D46" s="15" t="s">
        <v>6</v>
      </c>
      <c r="E46" s="18" cm="1">
        <f t="array" ref="E46">_xlfn.IFS(D46="A", 1, D46="B", 2, D46="C", 3, D46="D", 4, TRUE, 0)</f>
        <v>2</v>
      </c>
      <c r="F46" s="17" t="str" cm="1">
        <f t="array" ref="F46">_xlfn.IFS(
    E46=1, _xlfn.IFS(
        A46="Security, Identity &amp; Compliance", "RETAIN (Critical Legal/Sovereignty Roadblock)",
        A46="Compute &amp; Operating System Fit", "RETIRE / SCRAP (Obsolete Hardware/OS Profile)",
        TRUE, "RETAIN (Fatal System/Dependency Blocker)"
    ),
    E46=2, _xlfn.IFS(
        A46="Software Lifecycle &amp; Maintainability", "REFACTOR (Deep Code Rewrite Required)",
        A46="Compute &amp; Operating System Fit", "RELOCATE (Lift-to-Cloud VMware/Hypervisor Cluster)",
        TRUE, "REFACTOR / RE-ARCHITECT (High Migration Debt)"
    ),
    E46=3, _xlfn.IFS(
        A46="Data &amp; Storage Tier Compatibility", "REPLATFORM (Swap to Managed Cloud DB / Object Store)",
        A46="Networking, Integration &amp; Performance", "REPLATFORM (Swap to Cloud ALB / CloudFront CDN)",
        TRUE, "REPLATFORM / LIFT-AND-SHAPE"
    ),
    E46=4, _xlfn.IFS(
        A46="Software Lifecycle &amp; Maintainability", "REPURCHASE (Replace with Turnkey SaaS Product)",
        TRUE, "REHOST (LIFT &amp; SHIFT) (Direct VM Migration Ready)"
    ),
    TRUE, ""
)</f>
        <v>REFACTOR / RE-ARCHITECT (High Migration Debt)</v>
      </c>
      <c r="G46" s="15" t="s">
        <v>116</v>
      </c>
    </row>
    <row r="47" spans="1:7" ht="123.6" customHeight="1" x14ac:dyDescent="0.35">
      <c r="A47" s="2" t="s">
        <v>96</v>
      </c>
      <c r="B47" s="10" t="s">
        <v>107</v>
      </c>
      <c r="C47" s="7" t="s">
        <v>108</v>
      </c>
      <c r="D47" s="15" t="s">
        <v>6</v>
      </c>
      <c r="E47" s="18" cm="1">
        <f t="array" ref="E47">_xlfn.IFS(D47="A", 1, D47="B", 2, D47="C", 3, D47="D", 4, TRUE, 0)</f>
        <v>2</v>
      </c>
      <c r="F47" s="17" t="str" cm="1">
        <f t="array" ref="F47">_xlfn.IFS(
    E47=1, _xlfn.IFS(
        A47="Security, Identity &amp; Compliance", "RETAIN (Critical Legal/Sovereignty Roadblock)",
        A47="Compute &amp; Operating System Fit", "RETIRE / SCRAP (Obsolete Hardware/OS Profile)",
        TRUE, "RETAIN (Fatal System/Dependency Blocker)"
    ),
    E47=2, _xlfn.IFS(
        A47="Software Lifecycle &amp; Maintainability", "REFACTOR (Deep Code Rewrite Required)",
        A47="Compute &amp; Operating System Fit", "RELOCATE (Lift-to-Cloud VMware/Hypervisor Cluster)",
        TRUE, "REFACTOR / RE-ARCHITECT (High Migration Debt)"
    ),
    E47=3, _xlfn.IFS(
        A47="Data &amp; Storage Tier Compatibility", "REPLATFORM (Swap to Managed Cloud DB / Object Store)",
        A47="Networking, Integration &amp; Performance", "REPLATFORM (Swap to Cloud ALB / CloudFront CDN)",
        TRUE, "REPLATFORM / LIFT-AND-SHAPE"
    ),
    E47=4, _xlfn.IFS(
        A47="Software Lifecycle &amp; Maintainability", "REPURCHASE (Replace with Turnkey SaaS Product)",
        TRUE, "REHOST (LIFT &amp; SHIFT) (Direct VM Migration Ready)"
    ),
    TRUE, ""
)</f>
        <v>REFACTOR / RE-ARCHITECT (High Migration Debt)</v>
      </c>
      <c r="G47" s="15" t="s">
        <v>116</v>
      </c>
    </row>
    <row r="48" spans="1:7" ht="119.4" customHeight="1" x14ac:dyDescent="0.35">
      <c r="A48" s="2" t="s">
        <v>96</v>
      </c>
      <c r="B48" s="10" t="s">
        <v>109</v>
      </c>
      <c r="C48" s="7" t="s">
        <v>110</v>
      </c>
      <c r="D48" s="15" t="s">
        <v>6</v>
      </c>
      <c r="E48" s="18" cm="1">
        <f t="array" ref="E48">_xlfn.IFS(D48="A", 1, D48="B", 2, D48="C", 3, D48="D", 4, TRUE, 0)</f>
        <v>2</v>
      </c>
      <c r="F48" s="17" t="str" cm="1">
        <f t="array" ref="F48">_xlfn.IFS(
    E48=1, _xlfn.IFS(
        A48="Security, Identity &amp; Compliance", "RETAIN (Critical Legal/Sovereignty Roadblock)",
        A48="Compute &amp; Operating System Fit", "RETIRE / SCRAP (Obsolete Hardware/OS Profile)",
        TRUE, "RETAIN (Fatal System/Dependency Blocker)"
    ),
    E48=2, _xlfn.IFS(
        A48="Software Lifecycle &amp; Maintainability", "REFACTOR (Deep Code Rewrite Required)",
        A48="Compute &amp; Operating System Fit", "RELOCATE (Lift-to-Cloud VMware/Hypervisor Cluster)",
        TRUE, "REFACTOR / RE-ARCHITECT (High Migration Debt)"
    ),
    E48=3, _xlfn.IFS(
        A48="Data &amp; Storage Tier Compatibility", "REPLATFORM (Swap to Managed Cloud DB / Object Store)",
        A48="Networking, Integration &amp; Performance", "REPLATFORM (Swap to Cloud ALB / CloudFront CDN)",
        TRUE, "REPLATFORM / LIFT-AND-SHAPE"
    ),
    E48=4, _xlfn.IFS(
        A48="Software Lifecycle &amp; Maintainability", "REPURCHASE (Replace with Turnkey SaaS Product)",
        TRUE, "REHOST (LIFT &amp; SHIFT) (Direct VM Migration Ready)"
    ),
    TRUE, ""
)</f>
        <v>REFACTOR / RE-ARCHITECT (High Migration Debt)</v>
      </c>
      <c r="G48" s="15" t="s">
        <v>116</v>
      </c>
    </row>
    <row r="49" spans="1:7" ht="115.8" x14ac:dyDescent="0.35">
      <c r="A49" s="2" t="s">
        <v>96</v>
      </c>
      <c r="B49" s="11" t="s">
        <v>111</v>
      </c>
      <c r="C49" s="1" t="s">
        <v>112</v>
      </c>
      <c r="D49" s="15" t="s">
        <v>5</v>
      </c>
      <c r="E49" s="18" cm="1">
        <f t="array" ref="E49">_xlfn.IFS(D49="A", 1, D49="B", 2, D49="C", 3, D49="D", 4, TRUE, 0)</f>
        <v>1</v>
      </c>
      <c r="F49" s="17" t="str" cm="1">
        <f t="array" ref="F49">_xlfn.IFS(
    E49=1, _xlfn.IFS(
        A49="Security, Identity &amp; Compliance", "RETAIN (Critical Legal/Sovereignty Roadblock)",
        A49="Compute &amp; Operating System Fit", "RETIRE / SCRAP (Obsolete Hardware/OS Profile)",
        TRUE, "RETAIN (Fatal System/Dependency Blocker)"
    ),
    E49=2, _xlfn.IFS(
        A49="Software Lifecycle &amp; Maintainability", "REFACTOR (Deep Code Rewrite Required)",
        A49="Compute &amp; Operating System Fit", "RELOCATE (Lift-to-Cloud VMware/Hypervisor Cluster)",
        TRUE, "REFACTOR / RE-ARCHITECT (High Migration Debt)"
    ),
    E49=3, _xlfn.IFS(
        A49="Data &amp; Storage Tier Compatibility", "REPLATFORM (Swap to Managed Cloud DB / Object Store)",
        A49="Networking, Integration &amp; Performance", "REPLATFORM (Swap to Cloud ALB / CloudFront CDN)",
        TRUE, "REPLATFORM / LIFT-AND-SHAPE"
    ),
    E49=4, _xlfn.IFS(
        A49="Software Lifecycle &amp; Maintainability", "REPURCHASE (Replace with Turnkey SaaS Product)",
        TRUE, "REHOST (LIFT &amp; SHIFT) (Direct VM Migration Ready)"
    ),
    TRUE, ""
)</f>
        <v>RETAIN (Fatal System/Dependency Blocker)</v>
      </c>
      <c r="G49" s="15" t="s">
        <v>116</v>
      </c>
    </row>
    <row r="50" spans="1:7" x14ac:dyDescent="0.3">
      <c r="B50" s="9"/>
    </row>
    <row r="51" spans="1:7" ht="15.6" x14ac:dyDescent="0.3">
      <c r="B51" s="12" t="s">
        <v>120</v>
      </c>
    </row>
    <row r="52" spans="1:7" x14ac:dyDescent="0.3">
      <c r="B52" s="9"/>
    </row>
    <row r="53" spans="1:7" x14ac:dyDescent="0.3">
      <c r="B53" s="9"/>
    </row>
    <row r="54" spans="1:7" x14ac:dyDescent="0.3">
      <c r="B54" s="9"/>
    </row>
    <row r="55" spans="1:7" x14ac:dyDescent="0.3">
      <c r="B55" s="9"/>
    </row>
  </sheetData>
  <sheetProtection algorithmName="SHA-512" hashValue="9kp5B8sHnQ8Ir/yRRw5iMR8PFsdcUjkHc8eJReQvQcW5ilG3S9RMrosjQAbqQmWKJ6x/s2q/Hd7kTycdc8in+A==" saltValue="Y3dj56F8zSSwW4GHQNjPRQ==" spinCount="100000" sheet="1" objects="1" scenarios="1"/>
  <dataValidations xWindow="1300" yWindow="864" count="3">
    <dataValidation type="list" showInputMessage="1" showErrorMessage="1" errorTitle="Invalid Choice" error="You must select a letter from the dropdown list (A, B, C, or D)" promptTitle="Select Maturity" prompt="Please select an option from A to D based on your team's current operations" sqref="D2:D9 D17" xr:uid="{509BDBE0-139A-45CF-85F3-A20E0266477C}">
      <formula1>"A,B,C,D"</formula1>
    </dataValidation>
    <dataValidation type="list" allowBlank="1" showInputMessage="1" showErrorMessage="1" errorTitle="Invalid Choice" error="You must select a letter from the dropdown list (A, B, C, or D)" promptTitle="Select Maturity" prompt="Please select an option from A to D based on your team's current operations" sqref="D10:D16 D18:D49" xr:uid="{218ED69B-9501-4E28-A2A3-34AB43F67C43}">
      <formula1>"A,B,C,D"</formula1>
    </dataValidation>
    <dataValidation type="list" allowBlank="1" showInputMessage="1" showErrorMessage="1" promptTitle="T-Sizing" prompt="Select T-Sizing Workload Estimate." sqref="G2:G49" xr:uid="{B08D6181-3B52-4966-AFF0-C4A9BC2575D1}">
      <formula1>"Small,Medium,Large"</formula1>
    </dataValidation>
  </dataValidation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D14C9-A019-4A4F-9EC1-2104829600EF}">
  <sheetPr codeName="Sheet2"/>
  <dimension ref="A1:C27"/>
  <sheetViews>
    <sheetView tabSelected="1" topLeftCell="A7" zoomScale="88" zoomScaleNormal="88" workbookViewId="0">
      <selection activeCell="A27" sqref="A27"/>
    </sheetView>
  </sheetViews>
  <sheetFormatPr defaultRowHeight="14.4" x14ac:dyDescent="0.3"/>
  <cols>
    <col min="1" max="1" width="60.109375" customWidth="1"/>
    <col min="2" max="2" width="32.109375" customWidth="1"/>
    <col min="3" max="3" width="68.44140625" customWidth="1"/>
  </cols>
  <sheetData>
    <row r="1" spans="1:3" ht="21" x14ac:dyDescent="0.4">
      <c r="A1" s="5" t="s">
        <v>10</v>
      </c>
      <c r="B1" s="5" t="s">
        <v>8</v>
      </c>
      <c r="C1" s="2" t="s">
        <v>119</v>
      </c>
    </row>
    <row r="2" spans="1:3" ht="18" x14ac:dyDescent="0.35">
      <c r="A2" s="2" t="s">
        <v>11</v>
      </c>
      <c r="B2" s="19">
        <f>AVERAGEIF(Inputs!A:A, A2, Inputs!E:E)</f>
        <v>4</v>
      </c>
    </row>
    <row r="3" spans="1:3" ht="18" x14ac:dyDescent="0.35">
      <c r="A3" s="3" t="s">
        <v>28</v>
      </c>
      <c r="B3" s="19">
        <f>AVERAGEIF(Inputs!A:A, A3, Inputs!E:E)</f>
        <v>4</v>
      </c>
    </row>
    <row r="4" spans="1:3" ht="18" x14ac:dyDescent="0.35">
      <c r="A4" s="2" t="s">
        <v>45</v>
      </c>
      <c r="B4" s="19">
        <f>AVERAGEIF(Inputs!A:A, A4, Inputs!E:E)</f>
        <v>4</v>
      </c>
    </row>
    <row r="5" spans="1:3" ht="18" x14ac:dyDescent="0.35">
      <c r="A5" s="2" t="s">
        <v>62</v>
      </c>
      <c r="B5" s="19">
        <f>AVERAGEIF(Inputs!A:A, A5, Inputs!E:E)</f>
        <v>2.75</v>
      </c>
    </row>
    <row r="6" spans="1:3" ht="18" x14ac:dyDescent="0.35">
      <c r="A6" s="2" t="s">
        <v>78</v>
      </c>
      <c r="B6" s="19">
        <f>AVERAGEIF(Inputs!A:A, A6, Inputs!E:E)</f>
        <v>3.125</v>
      </c>
    </row>
    <row r="7" spans="1:3" ht="18" x14ac:dyDescent="0.35">
      <c r="A7" s="2" t="s">
        <v>96</v>
      </c>
      <c r="B7" s="19">
        <f>AVERAGEIF(Inputs!A:A, A7, Inputs!E:E)</f>
        <v>2</v>
      </c>
    </row>
    <row r="8" spans="1:3" ht="58.8" customHeight="1" x14ac:dyDescent="0.4">
      <c r="C8" s="5" t="s">
        <v>114</v>
      </c>
    </row>
    <row r="9" spans="1:3" ht="28.8" x14ac:dyDescent="0.3">
      <c r="C9" s="17" t="str" cm="1">
        <f t="array" ref="C9">_xlfn.IFS(
    COUNTIF(Inputs!E2:E48, 1) &gt; 12,
    "STRATEGY: MULTI-TIER RETAIN &amp; RETIRE BLOCK (Portfolio exhibits terminal technical debt. Immediate freeze.)",
    COUNTIF(Inputs!F2:F48, "*RETAIN*") &gt; 0,
    "STRATEGY: HYBRID RETAIN (Workload is cloud-compatible but blocked by localized Compliance or Data Sovereignty mandates.)",
    COUNTIF(Inputs!F2:F48, "*RELOCATE*") &gt; 0,
    "STRATEGY: HYBRID RELOCATE (Workload features nested virtualization dependencies. Route directly to AWS/Azure VMware Solution.)",
    AVERAGE(Inputs!E2:E48) &gt;= 3.5,
    "STRATEGY: COMPREHENSIVE REFACTOR (Ideal candidate for an immediate, high-velocity cloud-native container or serverless migration.)",
    AVERAGE(Inputs!E2:E48) &gt;= 2.8,
    "STRATEGY: CORE REHOST (Workload runtime profiles are stable and standard. Deploy automated replication agents for a rapid Lift-and-Shift.)",
    AVERAGE(Inputs!E2:E48) &gt;= 2,
    "STRATEGY: TARGETED REPLATFORM (Execute migration but immediately offload operational overhead to cloud-managed databases and shared files.)",
    TRUE,
    "STRATEGY: COMPLETE REPURCHASE (Workload is severely unoptimized for cloud IaaS. Decommission internal code and procure a standard third-party SaaS alternative.)"
)</f>
        <v>STRATEGY: CORE REHOST (Workload runtime profiles are stable and standard. Deploy automated replication agents for a rapid Lift-and-Shift.)</v>
      </c>
    </row>
    <row r="11" spans="1:3" ht="21" x14ac:dyDescent="0.4">
      <c r="C11" s="5"/>
    </row>
    <row r="27" spans="1:1" ht="15.6" x14ac:dyDescent="0.3">
      <c r="A27" s="13" t="s">
        <v>120</v>
      </c>
    </row>
  </sheetData>
  <sheetProtection algorithmName="SHA-512" hashValue="eXyTsItH3MtNMNeN9ICTVEuYgKVMS6yNHubFm+NfAaDhK/+sRA57ztLhS3IRdOSasvmh560g7CNLmdBXRYAm4w==" saltValue="mKpCs5QV0Mf+G2F6oRhKCQ==" spinCount="100000" sheet="1" objects="1" scenarios="1"/>
  <conditionalFormatting sqref="B10">
    <cfRule type="containsText" dxfId="33" priority="61" stopIfTrue="1" operator="containsText" text="STATE 15">
      <formula>NOT(ISERROR(SEARCH("STATE 15",B10)))</formula>
    </cfRule>
    <cfRule type="containsText" dxfId="32" priority="62" stopIfTrue="1" operator="containsText" text="STATE 14:">
      <formula>NOT(ISERROR(SEARCH("STATE 14:",B10)))</formula>
    </cfRule>
    <cfRule type="containsText" dxfId="31" priority="63" stopIfTrue="1" operator="containsText" text="STATE 13:">
      <formula>NOT(ISERROR(SEARCH("STATE 13:",B10)))</formula>
    </cfRule>
    <cfRule type="containsText" dxfId="30" priority="64" stopIfTrue="1" operator="containsText" text="STATE 12:">
      <formula>NOT(ISERROR(SEARCH("STATE 12:",B10)))</formula>
    </cfRule>
    <cfRule type="containsText" dxfId="29" priority="65" stopIfTrue="1" operator="containsText" text="STATE 11:">
      <formula>NOT(ISERROR(SEARCH("STATE 11:",B10)))</formula>
    </cfRule>
    <cfRule type="containsText" dxfId="28" priority="66" stopIfTrue="1" operator="containsText" text="STATE 10:">
      <formula>NOT(ISERROR(SEARCH("STATE 10:",B10)))</formula>
    </cfRule>
    <cfRule type="containsText" dxfId="27" priority="67" stopIfTrue="1" operator="containsText" text="STATE 9:">
      <formula>NOT(ISERROR(SEARCH("STATE 9:",B10)))</formula>
    </cfRule>
    <cfRule type="containsText" dxfId="26" priority="68" stopIfTrue="1" operator="containsText" text="STATE 8:">
      <formula>NOT(ISERROR(SEARCH("STATE 8:",B10)))</formula>
    </cfRule>
    <cfRule type="containsText" dxfId="25" priority="69" stopIfTrue="1" operator="containsText" text="STATE 7:">
      <formula>NOT(ISERROR(SEARCH("STATE 7:",B10)))</formula>
    </cfRule>
    <cfRule type="containsText" dxfId="24" priority="70" stopIfTrue="1" operator="containsText" text="STATE 6:">
      <formula>NOT(ISERROR(SEARCH("STATE 6:",B10)))</formula>
    </cfRule>
    <cfRule type="containsText" dxfId="23" priority="71" stopIfTrue="1" operator="containsText" text="STATE 5:">
      <formula>NOT(ISERROR(SEARCH("STATE 5:",B10)))</formula>
    </cfRule>
    <cfRule type="containsText" dxfId="22" priority="72" stopIfTrue="1" operator="containsText" text="STATE 4:">
      <formula>NOT(ISERROR(SEARCH("STATE 4:",B10)))</formula>
    </cfRule>
    <cfRule type="containsText" dxfId="21" priority="73" stopIfTrue="1" operator="containsText" text="STATE 3:">
      <formula>NOT(ISERROR(SEARCH("STATE 3:",B10)))</formula>
    </cfRule>
    <cfRule type="containsText" dxfId="20" priority="74" stopIfTrue="1" operator="containsText" text="STATE 2:">
      <formula>NOT(ISERROR(SEARCH("STATE 2:",B10)))</formula>
    </cfRule>
    <cfRule type="containsText" dxfId="19" priority="75" stopIfTrue="1" operator="containsText" text="STATE 1:">
      <formula>NOT(ISERROR(SEARCH("STATE 1:",B10)))</formula>
    </cfRule>
  </conditionalFormatting>
  <conditionalFormatting sqref="C9">
    <cfRule type="containsText" dxfId="18" priority="1" stopIfTrue="1" operator="containsText" text="STATE 15">
      <formula>NOT(ISERROR(SEARCH("STATE 15",C9)))</formula>
    </cfRule>
    <cfRule type="containsText" dxfId="17" priority="2" stopIfTrue="1" operator="containsText" text="STATE 14:">
      <formula>NOT(ISERROR(SEARCH("STATE 14:",C9)))</formula>
    </cfRule>
    <cfRule type="containsText" dxfId="16" priority="3" stopIfTrue="1" operator="containsText" text="STATE 13:">
      <formula>NOT(ISERROR(SEARCH("STATE 13:",C9)))</formula>
    </cfRule>
    <cfRule type="containsText" dxfId="15" priority="4" stopIfTrue="1" operator="containsText" text="STATE 12:">
      <formula>NOT(ISERROR(SEARCH("STATE 12:",C9)))</formula>
    </cfRule>
    <cfRule type="containsText" dxfId="14" priority="5" stopIfTrue="1" operator="containsText" text="STATE 11:">
      <formula>NOT(ISERROR(SEARCH("STATE 11:",C9)))</formula>
    </cfRule>
    <cfRule type="containsText" dxfId="13" priority="6" stopIfTrue="1" operator="containsText" text="STATE 10:">
      <formula>NOT(ISERROR(SEARCH("STATE 10:",C9)))</formula>
    </cfRule>
    <cfRule type="containsText" dxfId="12" priority="7" stopIfTrue="1" operator="containsText" text="STATE 9:">
      <formula>NOT(ISERROR(SEARCH("STATE 9:",C9)))</formula>
    </cfRule>
    <cfRule type="containsText" dxfId="11" priority="8" stopIfTrue="1" operator="containsText" text="STATE 8:">
      <formula>NOT(ISERROR(SEARCH("STATE 8:",C9)))</formula>
    </cfRule>
    <cfRule type="containsText" dxfId="10" priority="9" stopIfTrue="1" operator="containsText" text="STATE 7:">
      <formula>NOT(ISERROR(SEARCH("STATE 7:",C9)))</formula>
    </cfRule>
    <cfRule type="containsText" dxfId="9" priority="10" stopIfTrue="1" operator="containsText" text="STATE 6:">
      <formula>NOT(ISERROR(SEARCH("STATE 6:",C9)))</formula>
    </cfRule>
    <cfRule type="containsText" dxfId="8" priority="11" stopIfTrue="1" operator="containsText" text="STATE 5:">
      <formula>NOT(ISERROR(SEARCH("STATE 5:",C9)))</formula>
    </cfRule>
    <cfRule type="containsText" dxfId="7" priority="12" stopIfTrue="1" operator="containsText" text="STATE 4:">
      <formula>NOT(ISERROR(SEARCH("STATE 4:",C9)))</formula>
    </cfRule>
    <cfRule type="containsText" dxfId="6" priority="13" stopIfTrue="1" operator="containsText" text="STATE 3:">
      <formula>NOT(ISERROR(SEARCH("STATE 3:",C9)))</formula>
    </cfRule>
    <cfRule type="containsText" dxfId="5" priority="14" stopIfTrue="1" operator="containsText" text="STATE 2:">
      <formula>NOT(ISERROR(SEARCH("STATE 2:",C9)))</formula>
    </cfRule>
    <cfRule type="containsText" dxfId="4" priority="15" stopIfTrue="1" operator="containsText" text="STATE 1:">
      <formula>NOT(ISERROR(SEARCH("STATE 1:",C9)))</formula>
    </cfRule>
  </conditionalFormatting>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Inputs</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Kulkarni</dc:creator>
  <cp:lastModifiedBy>Amit Kulkarni</cp:lastModifiedBy>
  <dcterms:created xsi:type="dcterms:W3CDTF">2026-06-27T09:17:23Z</dcterms:created>
  <dcterms:modified xsi:type="dcterms:W3CDTF">2026-10-28T20:32:45Z</dcterms:modified>
</cp:coreProperties>
</file>